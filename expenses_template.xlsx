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itya/Documents/Project/expense-tracker/"/>
    </mc:Choice>
  </mc:AlternateContent>
  <xr:revisionPtr revIDLastSave="0" documentId="13_ncr:1_{897062FC-E641-5943-8110-FA47A3DB631E}" xr6:coauthVersionLast="47" xr6:coauthVersionMax="47" xr10:uidLastSave="{00000000-0000-0000-0000-000000000000}"/>
  <bookViews>
    <workbookView xWindow="1120" yWindow="680" windowWidth="28020" windowHeight="17380" xr2:uid="{BAE08B58-5CE6-D742-AB48-17962BD6D831}"/>
  </bookViews>
  <sheets>
    <sheet name="Jan 26" sheetId="20" r:id="rId1"/>
    <sheet name="Feb 26" sheetId="21" r:id="rId2"/>
    <sheet name="Oct 25" sheetId="5" state="hidden" r:id="rId3"/>
    <sheet name="Sep 25" sheetId="3" state="hidden" r:id="rId4"/>
    <sheet name="Aug 25" sheetId="2" state="hidden" r:id="rId5"/>
  </sheets>
  <definedNames>
    <definedName name="_xlnm._FilterDatabase" localSheetId="4" hidden="1">'Aug 25'!$A$1:$G$18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1" l="1"/>
  <c r="G4" i="21"/>
  <c r="G4" i="20" l="1"/>
  <c r="H4" i="20" l="1"/>
  <c r="I74" i="5"/>
  <c r="I73" i="5"/>
  <c r="I72" i="5"/>
  <c r="G72" i="5"/>
  <c r="I71" i="5"/>
  <c r="I70" i="5"/>
  <c r="I69" i="5"/>
  <c r="I68" i="5"/>
  <c r="I67" i="5"/>
  <c r="I66" i="5"/>
  <c r="I65" i="5"/>
  <c r="I64" i="5"/>
  <c r="I63" i="5"/>
  <c r="I62" i="5"/>
  <c r="I61" i="5"/>
  <c r="I60" i="5"/>
  <c r="I49" i="5"/>
  <c r="I52" i="5"/>
  <c r="I51" i="5"/>
  <c r="D97" i="5" s="1"/>
  <c r="I59" i="5"/>
  <c r="I58" i="5"/>
  <c r="I57" i="5"/>
  <c r="I56" i="5"/>
  <c r="I55" i="5"/>
  <c r="I54" i="5"/>
  <c r="I53" i="5"/>
  <c r="I47" i="5"/>
  <c r="I45" i="5"/>
  <c r="I46" i="5"/>
  <c r="I32" i="5"/>
  <c r="I44" i="5"/>
  <c r="G44" i="5"/>
  <c r="I42" i="5"/>
  <c r="I41" i="5"/>
  <c r="I40" i="5"/>
  <c r="I39" i="5"/>
  <c r="I38" i="5"/>
  <c r="I37" i="5"/>
  <c r="I43" i="5"/>
  <c r="I34" i="5"/>
  <c r="I33" i="5"/>
  <c r="I31" i="5"/>
  <c r="I30" i="5"/>
  <c r="I28" i="5"/>
  <c r="I27" i="5"/>
  <c r="I26" i="5"/>
  <c r="I25" i="5"/>
  <c r="I24" i="5"/>
  <c r="I23" i="5"/>
  <c r="I21" i="5"/>
  <c r="I20" i="5"/>
  <c r="I19" i="5"/>
  <c r="I18" i="5"/>
  <c r="I17" i="5"/>
  <c r="I16" i="5"/>
  <c r="I15" i="5"/>
  <c r="I14" i="5"/>
  <c r="I22" i="5"/>
  <c r="I29" i="5"/>
  <c r="I36" i="5"/>
  <c r="I8" i="5"/>
  <c r="I12" i="5"/>
  <c r="I7" i="5"/>
  <c r="I10" i="5"/>
  <c r="I13" i="5"/>
  <c r="I11" i="5"/>
  <c r="G4" i="5"/>
  <c r="I4" i="5" s="1"/>
  <c r="I9" i="5"/>
  <c r="I5" i="5"/>
  <c r="I6" i="5"/>
  <c r="I33" i="3"/>
  <c r="I3" i="5"/>
  <c r="I2" i="5"/>
  <c r="D91" i="5"/>
  <c r="D90" i="5"/>
  <c r="D84" i="5"/>
  <c r="I40" i="3"/>
  <c r="I36" i="3"/>
  <c r="I35" i="3"/>
  <c r="I42" i="3"/>
  <c r="D50" i="3" s="1"/>
  <c r="G41" i="3"/>
  <c r="I37" i="3"/>
  <c r="I38" i="3"/>
  <c r="I39" i="3"/>
  <c r="I34" i="3"/>
  <c r="I32" i="3"/>
  <c r="I31" i="3"/>
  <c r="I27" i="3"/>
  <c r="I26" i="3"/>
  <c r="I29" i="3"/>
  <c r="I28" i="3"/>
  <c r="I18" i="3"/>
  <c r="I21" i="3"/>
  <c r="I22" i="3"/>
  <c r="I24" i="3"/>
  <c r="I23" i="3"/>
  <c r="I20" i="3"/>
  <c r="I17" i="3"/>
  <c r="I19" i="3"/>
  <c r="I14" i="3"/>
  <c r="I16" i="3"/>
  <c r="I15" i="3"/>
  <c r="I13" i="3"/>
  <c r="I12" i="3"/>
  <c r="D47" i="3" s="1"/>
  <c r="I11" i="3"/>
  <c r="G11" i="3"/>
  <c r="I10" i="3"/>
  <c r="D52" i="3" s="1"/>
  <c r="I9" i="3"/>
  <c r="I8" i="3"/>
  <c r="I3" i="3"/>
  <c r="I2" i="3"/>
  <c r="D60" i="3"/>
  <c r="D59" i="3"/>
  <c r="D58" i="3"/>
  <c r="I33" i="2"/>
  <c r="I26" i="2"/>
  <c r="I30" i="2"/>
  <c r="I28" i="2"/>
  <c r="I27" i="2"/>
  <c r="I25" i="2"/>
  <c r="I23" i="2"/>
  <c r="I21" i="2"/>
  <c r="I20" i="2"/>
  <c r="I19" i="2"/>
  <c r="M6" i="2" s="1"/>
  <c r="G33" i="2"/>
  <c r="M2" i="2"/>
  <c r="I7" i="2"/>
  <c r="M5" i="2" s="1"/>
  <c r="D98" i="5" l="1"/>
  <c r="D81" i="5"/>
  <c r="D93" i="5"/>
  <c r="D96" i="5"/>
  <c r="G77" i="5"/>
  <c r="D82" i="5"/>
  <c r="D94" i="5"/>
  <c r="D80" i="5"/>
  <c r="D61" i="3"/>
  <c r="G45" i="3"/>
  <c r="D85" i="5"/>
  <c r="D95" i="5"/>
  <c r="D92" i="5"/>
  <c r="I77" i="5"/>
  <c r="D83" i="5"/>
  <c r="D79" i="5"/>
  <c r="D63" i="3"/>
  <c r="D49" i="3"/>
  <c r="D62" i="3"/>
  <c r="D65" i="3"/>
  <c r="I45" i="3"/>
  <c r="D48" i="3"/>
  <c r="D51" i="3"/>
  <c r="D64" i="3"/>
  <c r="D53" i="3"/>
  <c r="M14" i="2"/>
  <c r="M12" i="2"/>
  <c r="M16" i="2"/>
  <c r="M17" i="2"/>
  <c r="M13" i="2"/>
  <c r="M7" i="2"/>
  <c r="M15" i="2"/>
  <c r="M3" i="2"/>
  <c r="M4" i="2"/>
  <c r="D100" i="5" l="1"/>
  <c r="D87" i="5"/>
  <c r="D67" i="3"/>
  <c r="D55" i="3"/>
  <c r="M19" i="2"/>
  <c r="M9" i="2"/>
</calcChain>
</file>

<file path=xl/sharedStrings.xml><?xml version="1.0" encoding="utf-8"?>
<sst xmlns="http://schemas.openxmlformats.org/spreadsheetml/2006/main" count="665" uniqueCount="198">
  <si>
    <t>Sr. No.</t>
  </si>
  <si>
    <t>Date</t>
  </si>
  <si>
    <t>Description</t>
  </si>
  <si>
    <t>Amount</t>
  </si>
  <si>
    <t>Paid</t>
  </si>
  <si>
    <t>Total Paid</t>
  </si>
  <si>
    <t>Whole Milk (1 Gallon)</t>
  </si>
  <si>
    <t>MINT MOBILE</t>
  </si>
  <si>
    <t>WALLMART</t>
  </si>
  <si>
    <t>BATH AND BODY WORKS</t>
  </si>
  <si>
    <t>TARGET</t>
  </si>
  <si>
    <t>Shopping</t>
  </si>
  <si>
    <t>Category</t>
  </si>
  <si>
    <t>Name</t>
  </si>
  <si>
    <t xml:space="preserve">NJ Transit </t>
  </si>
  <si>
    <t>WOODBRIDGE to NEW BRUNSWICK</t>
  </si>
  <si>
    <t>Travelling</t>
  </si>
  <si>
    <t>AVENEL to NEW BRUNSWICK</t>
  </si>
  <si>
    <t>EDISON to AVENEL</t>
  </si>
  <si>
    <t>KRAUZERS</t>
  </si>
  <si>
    <t>Grocery</t>
  </si>
  <si>
    <t>1 Year Plan</t>
  </si>
  <si>
    <t>Bills</t>
  </si>
  <si>
    <t>Mode</t>
  </si>
  <si>
    <t>With Kunal and his Aunt</t>
  </si>
  <si>
    <t>PATEL BROTHERS</t>
  </si>
  <si>
    <t>ATUL BAKERY</t>
  </si>
  <si>
    <t>Bread</t>
  </si>
  <si>
    <t>UBER</t>
  </si>
  <si>
    <t>EWR to Woodbridge</t>
  </si>
  <si>
    <t>WOODBRIDGE to MENLO PARK MALL</t>
  </si>
  <si>
    <t>Lip Balm</t>
  </si>
  <si>
    <t>With Aayush</t>
  </si>
  <si>
    <t>MENLO PARK MALL to WOODBRIDGE</t>
  </si>
  <si>
    <t>ABHISHEK SHARMA</t>
  </si>
  <si>
    <t>Rent</t>
  </si>
  <si>
    <t>Zelle payment (Chase)</t>
  </si>
  <si>
    <t>NEW BRUNSWICK to WOODBRIDGE</t>
  </si>
  <si>
    <t>Chase Debit Card</t>
  </si>
  <si>
    <t>Kotak Forex Card</t>
  </si>
  <si>
    <t>Aayush Paid</t>
  </si>
  <si>
    <t>Thomas Cook Forex Card</t>
  </si>
  <si>
    <t>Dif</t>
  </si>
  <si>
    <t>The Home Depot</t>
  </si>
  <si>
    <t>1 Dollar Items</t>
  </si>
  <si>
    <t>Paratha</t>
  </si>
  <si>
    <t>COSTCO</t>
  </si>
  <si>
    <t>With Abhishak bhai</t>
  </si>
  <si>
    <t>CHIPOTLE</t>
  </si>
  <si>
    <t>DUNKIN</t>
  </si>
  <si>
    <t>ICE COFFEE</t>
  </si>
  <si>
    <t>WRAP</t>
  </si>
  <si>
    <t>Zolve Credit Card</t>
  </si>
  <si>
    <t>SEP MONTHLY PASS</t>
  </si>
  <si>
    <t>AMAZON</t>
  </si>
  <si>
    <t>Matress Protector &amp; Water Filter</t>
  </si>
  <si>
    <t>PATH TRAIN</t>
  </si>
  <si>
    <t>Newark to Journal Square</t>
  </si>
  <si>
    <t>Jornal Square to Newark</t>
  </si>
  <si>
    <t>NJ BUS</t>
  </si>
  <si>
    <t>Journal Square to Court Authority</t>
  </si>
  <si>
    <t>Cash</t>
  </si>
  <si>
    <t>IKEA</t>
  </si>
  <si>
    <t>Kitchen</t>
  </si>
  <si>
    <t>HONEYGROW</t>
  </si>
  <si>
    <t>Stir Fry</t>
  </si>
  <si>
    <t>NJ TRANSIT</t>
  </si>
  <si>
    <t>Rahway to Newark</t>
  </si>
  <si>
    <t>Newark to Rahway</t>
  </si>
  <si>
    <t>RUTGERS</t>
  </si>
  <si>
    <t>Recreation - Adventure Hiking</t>
  </si>
  <si>
    <t>Adventure</t>
  </si>
  <si>
    <t>Football - Coke, Water &amp; Lemonade</t>
  </si>
  <si>
    <t>Friend Paid</t>
  </si>
  <si>
    <t>Month of Sep</t>
  </si>
  <si>
    <t>WALMART</t>
  </si>
  <si>
    <t>Vaccume Cleaner &amp; Shower Softner</t>
  </si>
  <si>
    <t>Milk (1 Gallon)</t>
  </si>
  <si>
    <t>Vegetables etc.</t>
  </si>
  <si>
    <t>HENRYS DINER</t>
  </si>
  <si>
    <t>Burger</t>
  </si>
  <si>
    <t>DOMINOS</t>
  </si>
  <si>
    <t>Pizza with Dev</t>
  </si>
  <si>
    <t>Ice Cream</t>
  </si>
  <si>
    <t>CORNER DELI</t>
  </si>
  <si>
    <t>Bounty</t>
  </si>
  <si>
    <t>KRISPY PIZZA</t>
  </si>
  <si>
    <t>Pizza with Aayush</t>
  </si>
  <si>
    <t>Woodbridge to Cook Recreation</t>
  </si>
  <si>
    <t>EXPRESS NEWS CAFÉ</t>
  </si>
  <si>
    <t>Starbucks Mocha Coffee</t>
  </si>
  <si>
    <t>COMMON THINGS</t>
  </si>
  <si>
    <t>Kunal Stuff</t>
  </si>
  <si>
    <t>INDIAN STORE</t>
  </si>
  <si>
    <t>Dahi</t>
  </si>
  <si>
    <t>Dosa, Avacardo &amp; Cheese</t>
  </si>
  <si>
    <t>Eating Out</t>
  </si>
  <si>
    <t>Khasiyat Fast Eating Out</t>
  </si>
  <si>
    <t>KHASIYAT FAST FOOD</t>
  </si>
  <si>
    <t>Party</t>
  </si>
  <si>
    <t>GERLANDAS PIZZA</t>
  </si>
  <si>
    <t>Pizza Slice</t>
  </si>
  <si>
    <t>WTC to Newark</t>
  </si>
  <si>
    <t>SUBAY NYC</t>
  </si>
  <si>
    <t>WTC to Brooklyn</t>
  </si>
  <si>
    <t>Snacks</t>
  </si>
  <si>
    <t>Bills (Aug - Sep)</t>
  </si>
  <si>
    <t>Brooklyn to WTC</t>
  </si>
  <si>
    <t>FERRY NYC</t>
  </si>
  <si>
    <t>Paul to WTC</t>
  </si>
  <si>
    <t>Evergreen to Woodbridge Home</t>
  </si>
  <si>
    <t>ARTICHOKE PIZZA</t>
  </si>
  <si>
    <t>Pizza Dinner</t>
  </si>
  <si>
    <t>LYFT</t>
  </si>
  <si>
    <t>Livingston to Evergreen</t>
  </si>
  <si>
    <t>Blender</t>
  </si>
  <si>
    <t>Lunch at Punjabj Rasoi</t>
  </si>
  <si>
    <t>SKYLINE TOWERS</t>
  </si>
  <si>
    <t>Application Fees</t>
  </si>
  <si>
    <t>PUNJABI RASOI</t>
  </si>
  <si>
    <t>HACKATHON</t>
  </si>
  <si>
    <t>Dinner</t>
  </si>
  <si>
    <t>From New Brunswick to Metuchen</t>
  </si>
  <si>
    <t>Evergreen to Skyline</t>
  </si>
  <si>
    <t>A2B</t>
  </si>
  <si>
    <t>Dinner Party</t>
  </si>
  <si>
    <t>Metuchen to Evergreen</t>
  </si>
  <si>
    <t>Evergreen to Metuchen</t>
  </si>
  <si>
    <t>FACEBOOK MARKETPLACE</t>
  </si>
  <si>
    <t>Study Table</t>
  </si>
  <si>
    <t>THE HOME DEPOT</t>
  </si>
  <si>
    <t>Keys Copy</t>
  </si>
  <si>
    <t>MIHIR BAPAT</t>
  </si>
  <si>
    <t>Oct Sublease</t>
  </si>
  <si>
    <t>Washing Utilities</t>
  </si>
  <si>
    <t>Bounty and Toilet Paper</t>
  </si>
  <si>
    <t>Cheque Charges</t>
  </si>
  <si>
    <t>DOLLAR BRUNSWICK</t>
  </si>
  <si>
    <t>Shower Curtain</t>
  </si>
  <si>
    <t>Dustbin, Spray and Soap</t>
  </si>
  <si>
    <t>Bidet</t>
  </si>
  <si>
    <t>Garbage Bag</t>
  </si>
  <si>
    <t>Washing Detergent</t>
  </si>
  <si>
    <t>Mop</t>
  </si>
  <si>
    <t>BRAVO</t>
  </si>
  <si>
    <t>Milk and Banana</t>
  </si>
  <si>
    <t>Milk and Paana</t>
  </si>
  <si>
    <t>Banana</t>
  </si>
  <si>
    <t>DOLLAR TREE</t>
  </si>
  <si>
    <t>Door Hanging</t>
  </si>
  <si>
    <t>Tomato and Onions</t>
  </si>
  <si>
    <t>Door Bell</t>
  </si>
  <si>
    <t>Kitchen Sink</t>
  </si>
  <si>
    <t>Air Freshner</t>
  </si>
  <si>
    <t>BAPS SHAYONA</t>
  </si>
  <si>
    <t>Peda (Sweets)</t>
  </si>
  <si>
    <t>New Brunswick to NY Penn Station</t>
  </si>
  <si>
    <t>NY SUBAY</t>
  </si>
  <si>
    <t>Penn Station to Queens</t>
  </si>
  <si>
    <t>Queens to Penn Station</t>
  </si>
  <si>
    <t>FRESH PIZZA</t>
  </si>
  <si>
    <t>Pizza Slices</t>
  </si>
  <si>
    <t>Newark to New Brunswick</t>
  </si>
  <si>
    <t>RIDE</t>
  </si>
  <si>
    <t>3 times College Ave to Spirit Halloween</t>
  </si>
  <si>
    <t>CHAI CHENAK</t>
  </si>
  <si>
    <t>Lunch</t>
  </si>
  <si>
    <t>SCHNUR MEYER SWEET</t>
  </si>
  <si>
    <t>Ice Cream Sunday</t>
  </si>
  <si>
    <t>Home to Enterprise North Brunswick</t>
  </si>
  <si>
    <t>OLIVE GARDEN</t>
  </si>
  <si>
    <t>Chase Credit Card</t>
  </si>
  <si>
    <t>7 ELEVEN</t>
  </si>
  <si>
    <t>Coffee</t>
  </si>
  <si>
    <t>Chair</t>
  </si>
  <si>
    <t>Tofu</t>
  </si>
  <si>
    <t>Subscription</t>
  </si>
  <si>
    <t>Chair Cusion, Laundry Bag &amp; Hooks</t>
  </si>
  <si>
    <t>Milk</t>
  </si>
  <si>
    <t>Drying Rack</t>
  </si>
  <si>
    <t>Mirror</t>
  </si>
  <si>
    <t>GAS</t>
  </si>
  <si>
    <t>Pennsylvania</t>
  </si>
  <si>
    <t>Enterprise to Hamilton</t>
  </si>
  <si>
    <t>ENTERPRISE</t>
  </si>
  <si>
    <t>Car Rental</t>
  </si>
  <si>
    <t>TRIP</t>
  </si>
  <si>
    <t>Parking Jim Thorpe</t>
  </si>
  <si>
    <t>MARKET</t>
  </si>
  <si>
    <t>Apple Pie</t>
  </si>
  <si>
    <t>Chilles</t>
  </si>
  <si>
    <t>PATH</t>
  </si>
  <si>
    <t>NY</t>
  </si>
  <si>
    <t>JOE'S PIZZA</t>
  </si>
  <si>
    <t>SUBWAY</t>
  </si>
  <si>
    <t>Total</t>
  </si>
  <si>
    <t>Split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</si>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</sst>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[$INR]\ * #,##0.00_);_([$INR]\ * \(#,##0.00\);_([$INR]\ * &quot;-&quot;??_);_(@_)"/>
    <numFmt numFmtId="165" formatCode="_([$$-409]* #,##0.00_);_([$$-409]* \(#,##0.00\);_([$$-409]* &quot;-&quot;??_);_(@_)"/>
    <numFmt numFmtId="166" formatCode="mm/dd/yy;@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44" fontId="0" fillId="0" borderId="0" xfId="1" applyFont="1"/>
    <xf numFmtId="165" fontId="0" fillId="0" borderId="0" xfId="1" applyNumberFormat="1" applyFont="1"/>
    <xf numFmtId="44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44" fontId="4" fillId="0" borderId="1" xfId="1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" fontId="0" fillId="0" borderId="0" xfId="0" applyNumberFormat="1" applyAlignment="1">
      <alignment horizontal="left" vertical="center" wrapText="1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wrapText="1"/>
    </xf>
    <xf numFmtId="44" fontId="0" fillId="0" borderId="0" xfId="1" applyFont="1" applyFill="1" applyBorder="1"/>
    <xf numFmtId="0" fontId="0" fillId="2" borderId="0" xfId="0" applyFill="1" applyAlignment="1">
      <alignment horizontal="left" vertical="center"/>
    </xf>
    <xf numFmtId="44" fontId="0" fillId="0" borderId="0" xfId="0" applyNumberFormat="1" applyAlignment="1">
      <alignment horizontal="left" vertical="center"/>
    </xf>
    <xf numFmtId="165" fontId="0" fillId="3" borderId="0" xfId="0" applyNumberFormat="1" applyFill="1"/>
    <xf numFmtId="0" fontId="0" fillId="3" borderId="0" xfId="0" applyFill="1"/>
    <xf numFmtId="166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wrapText="1"/>
    </xf>
    <xf numFmtId="0" fontId="4" fillId="0" borderId="0" xfId="0" applyFont="1" applyAlignment="1">
      <alignment horizontal="center" vertical="center"/>
    </xf>
    <xf numFmtId="0" fontId="4" fillId="0" borderId="0" xfId="0" applyFont="1"/>
    <xf numFmtId="44" fontId="4" fillId="0" borderId="0" xfId="1" applyFont="1"/>
    <xf numFmtId="0" fontId="0" fillId="0" borderId="1" xfId="0" applyBorder="1"/>
    <xf numFmtId="44" fontId="0" fillId="0" borderId="1" xfId="1" applyFont="1" applyBorder="1"/>
    <xf numFmtId="0" fontId="4" fillId="0" borderId="1" xfId="0" applyFont="1" applyBorder="1"/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4" fontId="4" fillId="0" borderId="0" xfId="0" applyNumberFormat="1" applyFont="1"/>
    <xf numFmtId="44" fontId="0" fillId="0" borderId="0" xfId="1" applyFont="1" applyBorder="1"/>
    <xf numFmtId="44" fontId="4" fillId="0" borderId="0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8F93-9497-014F-9762-0753B6412E57}">
  <dimension ref="A1:L87"/>
  <sheetViews>
    <sheetView tabSelected="1" zoomScale="120" zoomScaleNormal="120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7.83203125" style="2" bestFit="1" customWidth="1"/>
    <col min="2" max="2" width="8.5" style="2" bestFit="1" customWidth="1"/>
    <col min="3" max="3" width="30.33203125" bestFit="1" customWidth="1"/>
    <col min="4" max="4" width="49.6640625" bestFit="1" customWidth="1"/>
    <col min="6" max="6" width="19" bestFit="1" customWidth="1"/>
    <col min="7" max="8" width="12.83203125" bestFit="1" customWidth="1"/>
    <col min="9" max="12" width="12.83203125" customWidth="1"/>
  </cols>
  <sheetData>
    <row r="1" spans="1:12" s="27" customFormat="1" ht="19" x14ac:dyDescent="0.2">
      <c r="A1" s="35" t="s">
        <v>0</v>
      </c>
      <c r="B1" s="35" t="s">
        <v>1</v>
      </c>
      <c r="C1" s="35" t="s">
        <v>197</v>
      </c>
      <c r="D1" s="35" t="s">
        <v>2</v>
      </c>
      <c r="E1" s="35" t="s">
        <v>12</v>
      </c>
      <c r="F1" s="35" t="s">
        <v>23</v>
      </c>
      <c r="G1" s="35" t="s">
        <v>3</v>
      </c>
      <c r="H1" s="35" t="s">
        <v>196</v>
      </c>
    </row>
    <row r="2" spans="1:12" s="27" customFormat="1" ht="19" x14ac:dyDescent="0.2">
      <c r="A2" s="33"/>
      <c r="B2" s="34"/>
      <c r="C2" s="30"/>
      <c r="D2" s="30"/>
      <c r="E2" s="30"/>
      <c r="F2" s="30"/>
      <c r="G2" s="31"/>
      <c r="H2" s="31"/>
      <c r="I2" s="37"/>
      <c r="J2" s="37"/>
      <c r="K2" s="37"/>
      <c r="L2" s="37"/>
    </row>
    <row r="3" spans="1:12" x14ac:dyDescent="0.2">
      <c r="A3" s="33"/>
      <c r="B3" s="34"/>
      <c r="C3" s="30"/>
      <c r="D3" s="30"/>
      <c r="E3" s="30"/>
      <c r="F3" s="30"/>
      <c r="G3" s="31"/>
      <c r="H3" s="31"/>
      <c r="I3" s="37"/>
      <c r="J3" s="37"/>
      <c r="K3" s="37"/>
      <c r="L3" s="37"/>
    </row>
    <row r="4" spans="1:12" ht="19" x14ac:dyDescent="0.25">
      <c r="F4" s="32" t="s">
        <v>195</v>
      </c>
      <c r="G4" s="11">
        <f>SUM(G2:G3)</f>
        <v>0</v>
      </c>
      <c r="H4" s="11">
        <f>SUM(H2:H3)</f>
        <v>0</v>
      </c>
      <c r="I4" s="38"/>
      <c r="J4" s="38"/>
      <c r="K4" s="38"/>
      <c r="L4" s="38"/>
    </row>
    <row r="5" spans="1:12" ht="19" x14ac:dyDescent="0.25">
      <c r="F5" s="28"/>
      <c r="G5" s="29"/>
      <c r="H5" s="29"/>
      <c r="I5" s="29"/>
      <c r="J5" s="29"/>
      <c r="K5" s="29"/>
      <c r="L5" s="29"/>
    </row>
    <row r="6" spans="1:12" x14ac:dyDescent="0.2">
      <c r="B6"/>
    </row>
    <row r="7" spans="1:12" x14ac:dyDescent="0.2">
      <c r="B7"/>
    </row>
    <row r="8" spans="1:12" x14ac:dyDescent="0.2">
      <c r="B8"/>
    </row>
    <row r="9" spans="1:12" x14ac:dyDescent="0.2">
      <c r="B9"/>
    </row>
    <row r="10" spans="1:12" x14ac:dyDescent="0.2">
      <c r="B10" s="7"/>
    </row>
    <row r="11" spans="1:12" x14ac:dyDescent="0.2">
      <c r="B11"/>
    </row>
    <row r="12" spans="1:12" x14ac:dyDescent="0.2">
      <c r="B12" s="7"/>
    </row>
    <row r="13" spans="1:12" x14ac:dyDescent="0.2">
      <c r="B13" s="7"/>
    </row>
    <row r="14" spans="1:12" x14ac:dyDescent="0.2">
      <c r="B14" s="7"/>
    </row>
    <row r="15" spans="1:12" ht="19" x14ac:dyDescent="0.25">
      <c r="B15" s="36"/>
    </row>
    <row r="16" spans="1:12" x14ac:dyDescent="0.2">
      <c r="B16" s="7"/>
    </row>
    <row r="17" spans="2:2" x14ac:dyDescent="0.2">
      <c r="B17"/>
    </row>
    <row r="18" spans="2:2" x14ac:dyDescent="0.2">
      <c r="B18"/>
    </row>
    <row r="72" spans="5:5" x14ac:dyDescent="0.2">
      <c r="E72" s="5"/>
    </row>
    <row r="73" spans="5:5" x14ac:dyDescent="0.2">
      <c r="E73" s="5"/>
    </row>
    <row r="74" spans="5:5" x14ac:dyDescent="0.2">
      <c r="E74" s="5"/>
    </row>
    <row r="75" spans="5:5" x14ac:dyDescent="0.2">
      <c r="E75" s="5"/>
    </row>
    <row r="76" spans="5:5" x14ac:dyDescent="0.2">
      <c r="E76" s="5"/>
    </row>
    <row r="77" spans="5:5" x14ac:dyDescent="0.2">
      <c r="E77" s="5"/>
    </row>
    <row r="78" spans="5:5" x14ac:dyDescent="0.2">
      <c r="E78" s="5"/>
    </row>
    <row r="79" spans="5:5" x14ac:dyDescent="0.2">
      <c r="E79" s="5"/>
    </row>
    <row r="80" spans="5:5" x14ac:dyDescent="0.2">
      <c r="E80" s="5"/>
    </row>
    <row r="81" spans="5:5" x14ac:dyDescent="0.2">
      <c r="E81" s="5"/>
    </row>
    <row r="82" spans="5:5" x14ac:dyDescent="0.2">
      <c r="E82" s="5"/>
    </row>
    <row r="83" spans="5:5" x14ac:dyDescent="0.2">
      <c r="E83" s="5"/>
    </row>
    <row r="84" spans="5:5" x14ac:dyDescent="0.2">
      <c r="E84" s="5"/>
    </row>
    <row r="85" spans="5:5" x14ac:dyDescent="0.2">
      <c r="E85" s="5"/>
    </row>
    <row r="86" spans="5:5" x14ac:dyDescent="0.2">
      <c r="E86" s="5"/>
    </row>
    <row r="87" spans="5:5" x14ac:dyDescent="0.2">
      <c r="E8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5781-8BD2-7842-BA84-8A2C77431810}">
  <dimension ref="A1:L87"/>
  <sheetViews>
    <sheetView zoomScale="120" zoomScaleNormal="120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7.83203125" style="2" bestFit="1" customWidth="1"/>
    <col min="2" max="2" width="8.5" style="2" bestFit="1" customWidth="1"/>
    <col min="3" max="3" width="30.33203125" bestFit="1" customWidth="1"/>
    <col min="4" max="4" width="49.6640625" bestFit="1" customWidth="1"/>
    <col min="6" max="6" width="19" bestFit="1" customWidth="1"/>
    <col min="7" max="8" width="12.83203125" bestFit="1" customWidth="1"/>
    <col min="9" max="12" width="12.83203125" customWidth="1"/>
  </cols>
  <sheetData>
    <row r="1" spans="1:12" s="27" customFormat="1" ht="19" x14ac:dyDescent="0.2">
      <c r="A1" s="35" t="s">
        <v>0</v>
      </c>
      <c r="B1" s="35" t="s">
        <v>1</v>
      </c>
      <c r="C1" s="35" t="s">
        <v>197</v>
      </c>
      <c r="D1" s="35" t="s">
        <v>2</v>
      </c>
      <c r="E1" s="35" t="s">
        <v>12</v>
      </c>
      <c r="F1" s="35" t="s">
        <v>23</v>
      </c>
      <c r="G1" s="35" t="s">
        <v>3</v>
      </c>
      <c r="H1" s="35" t="s">
        <v>196</v>
      </c>
    </row>
    <row r="2" spans="1:12" s="27" customFormat="1" ht="19" x14ac:dyDescent="0.2">
      <c r="A2" s="33"/>
      <c r="B2" s="34"/>
      <c r="C2" s="30"/>
      <c r="D2" s="30"/>
      <c r="E2" s="30"/>
      <c r="F2" s="30"/>
      <c r="G2" s="31"/>
      <c r="H2" s="31"/>
      <c r="I2" s="37"/>
      <c r="J2" s="37"/>
      <c r="K2" s="37"/>
      <c r="L2" s="37"/>
    </row>
    <row r="3" spans="1:12" x14ac:dyDescent="0.2">
      <c r="A3" s="33"/>
      <c r="B3" s="34"/>
      <c r="C3" s="30"/>
      <c r="D3" s="30"/>
      <c r="E3" s="30"/>
      <c r="F3" s="30"/>
      <c r="G3" s="31"/>
      <c r="H3" s="31"/>
      <c r="I3" s="37"/>
      <c r="J3" s="37"/>
      <c r="K3" s="37"/>
      <c r="L3" s="37"/>
    </row>
    <row r="4" spans="1:12" ht="19" x14ac:dyDescent="0.25">
      <c r="F4" s="32" t="s">
        <v>195</v>
      </c>
      <c r="G4" s="11">
        <f>SUM(G2:G3)</f>
        <v>0</v>
      </c>
      <c r="H4" s="11">
        <f>SUM(H2:H3)</f>
        <v>0</v>
      </c>
      <c r="I4" s="38"/>
      <c r="J4" s="38"/>
      <c r="K4" s="38"/>
      <c r="L4" s="38"/>
    </row>
    <row r="5" spans="1:12" ht="19" x14ac:dyDescent="0.25">
      <c r="F5" s="28"/>
      <c r="G5" s="29"/>
      <c r="H5" s="29"/>
      <c r="I5" s="29"/>
      <c r="J5" s="29"/>
      <c r="K5" s="29"/>
      <c r="L5" s="29"/>
    </row>
    <row r="6" spans="1:12" x14ac:dyDescent="0.2">
      <c r="B6"/>
    </row>
    <row r="7" spans="1:12" x14ac:dyDescent="0.2">
      <c r="B7"/>
    </row>
    <row r="8" spans="1:12" x14ac:dyDescent="0.2">
      <c r="B8"/>
    </row>
    <row r="9" spans="1:12" x14ac:dyDescent="0.2">
      <c r="B9"/>
    </row>
    <row r="10" spans="1:12" x14ac:dyDescent="0.2">
      <c r="B10" s="7"/>
    </row>
    <row r="11" spans="1:12" x14ac:dyDescent="0.2">
      <c r="B11"/>
    </row>
    <row r="12" spans="1:12" x14ac:dyDescent="0.2">
      <c r="B12" s="7"/>
    </row>
    <row r="13" spans="1:12" x14ac:dyDescent="0.2">
      <c r="B13" s="7"/>
    </row>
    <row r="14" spans="1:12" x14ac:dyDescent="0.2">
      <c r="B14" s="7"/>
    </row>
    <row r="15" spans="1:12" ht="19" x14ac:dyDescent="0.25">
      <c r="B15" s="36"/>
    </row>
    <row r="16" spans="1:12" x14ac:dyDescent="0.2">
      <c r="B16" s="7"/>
    </row>
    <row r="17" spans="2:2" x14ac:dyDescent="0.2">
      <c r="B17"/>
    </row>
    <row r="18" spans="2:2" x14ac:dyDescent="0.2">
      <c r="B18"/>
    </row>
    <row r="72" spans="5:5" x14ac:dyDescent="0.2">
      <c r="E72" s="5"/>
    </row>
    <row r="73" spans="5:5" x14ac:dyDescent="0.2">
      <c r="E73" s="5"/>
    </row>
    <row r="74" spans="5:5" x14ac:dyDescent="0.2">
      <c r="E74" s="5"/>
    </row>
    <row r="75" spans="5:5" x14ac:dyDescent="0.2">
      <c r="E75" s="5"/>
    </row>
    <row r="76" spans="5:5" x14ac:dyDescent="0.2">
      <c r="E76" s="5"/>
    </row>
    <row r="77" spans="5:5" x14ac:dyDescent="0.2">
      <c r="E77" s="5"/>
    </row>
    <row r="78" spans="5:5" x14ac:dyDescent="0.2">
      <c r="E78" s="5"/>
    </row>
    <row r="79" spans="5:5" x14ac:dyDescent="0.2">
      <c r="E79" s="5"/>
    </row>
    <row r="80" spans="5:5" x14ac:dyDescent="0.2">
      <c r="E80" s="5"/>
    </row>
    <row r="81" spans="5:5" x14ac:dyDescent="0.2">
      <c r="E81" s="5"/>
    </row>
    <row r="82" spans="5:5" x14ac:dyDescent="0.2">
      <c r="E82" s="5"/>
    </row>
    <row r="83" spans="5:5" x14ac:dyDescent="0.2">
      <c r="E83" s="5"/>
    </row>
    <row r="84" spans="5:5" x14ac:dyDescent="0.2">
      <c r="E84" s="5"/>
    </row>
    <row r="85" spans="5:5" x14ac:dyDescent="0.2">
      <c r="E85" s="5"/>
    </row>
    <row r="86" spans="5:5" x14ac:dyDescent="0.2">
      <c r="E86" s="5"/>
    </row>
    <row r="87" spans="5:5" x14ac:dyDescent="0.2">
      <c r="E8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66B3-0F0F-6948-99FA-A2439722F19F}">
  <dimension ref="A1:L102"/>
  <sheetViews>
    <sheetView zoomScale="120" zoomScaleNormal="120" workbookViewId="0">
      <pane ySplit="1" topLeftCell="A73" activePane="bottomLeft" state="frozen"/>
      <selection pane="bottomLeft"/>
    </sheetView>
  </sheetViews>
  <sheetFormatPr baseColWidth="10" defaultRowHeight="16" x14ac:dyDescent="0.2"/>
  <cols>
    <col min="1" max="1" width="6.5" bestFit="1" customWidth="1"/>
    <col min="2" max="2" width="9.6640625" style="2" customWidth="1"/>
    <col min="3" max="3" width="23.5" customWidth="1"/>
    <col min="4" max="4" width="22" customWidth="1"/>
    <col min="5" max="5" width="12.6640625" customWidth="1"/>
    <col min="6" max="6" width="21.1640625" bestFit="1" customWidth="1"/>
    <col min="7" max="7" width="13.5" customWidth="1"/>
    <col min="8" max="8" width="10.6640625" bestFit="1" customWidth="1"/>
    <col min="9" max="9" width="14.6640625" customWidth="1"/>
    <col min="12" max="12" width="14.83203125" bestFit="1" customWidth="1"/>
  </cols>
  <sheetData>
    <row r="1" spans="1:9" ht="17" x14ac:dyDescent="0.2">
      <c r="A1" s="12" t="s">
        <v>0</v>
      </c>
      <c r="B1" s="13" t="s">
        <v>1</v>
      </c>
      <c r="C1" s="13" t="s">
        <v>13</v>
      </c>
      <c r="D1" s="13" t="s">
        <v>2</v>
      </c>
      <c r="E1" s="13" t="s">
        <v>12</v>
      </c>
      <c r="F1" s="13" t="s">
        <v>23</v>
      </c>
      <c r="G1" s="13" t="s">
        <v>3</v>
      </c>
      <c r="I1" s="13" t="s">
        <v>4</v>
      </c>
    </row>
    <row r="2" spans="1:9" ht="17" x14ac:dyDescent="0.2">
      <c r="A2" s="24">
        <v>1</v>
      </c>
      <c r="B2" s="23">
        <v>45931</v>
      </c>
      <c r="C2" s="4" t="s">
        <v>111</v>
      </c>
      <c r="D2" s="4" t="s">
        <v>112</v>
      </c>
      <c r="E2" s="4" t="s">
        <v>96</v>
      </c>
      <c r="F2" s="4" t="s">
        <v>40</v>
      </c>
      <c r="G2" s="6">
        <v>21</v>
      </c>
      <c r="H2" s="1"/>
      <c r="I2" s="5">
        <f>G2/2</f>
        <v>10.5</v>
      </c>
    </row>
    <row r="3" spans="1:9" ht="17" x14ac:dyDescent="0.2">
      <c r="A3" s="24">
        <v>2</v>
      </c>
      <c r="B3" s="23">
        <v>45931</v>
      </c>
      <c r="C3" s="4" t="s">
        <v>113</v>
      </c>
      <c r="D3" s="4" t="s">
        <v>114</v>
      </c>
      <c r="E3" s="4" t="s">
        <v>16</v>
      </c>
      <c r="F3" s="4" t="s">
        <v>40</v>
      </c>
      <c r="G3" s="6">
        <v>15.91</v>
      </c>
      <c r="H3" s="1"/>
      <c r="I3" s="5">
        <f>G3/2</f>
        <v>7.9550000000000001</v>
      </c>
    </row>
    <row r="4" spans="1:9" ht="17" x14ac:dyDescent="0.2">
      <c r="A4" s="24">
        <v>3</v>
      </c>
      <c r="B4" s="23">
        <v>45932</v>
      </c>
      <c r="C4" s="4" t="s">
        <v>28</v>
      </c>
      <c r="D4" s="4" t="s">
        <v>116</v>
      </c>
      <c r="E4" s="4" t="s">
        <v>16</v>
      </c>
      <c r="F4" s="4" t="s">
        <v>73</v>
      </c>
      <c r="G4" s="6">
        <f>4.05+(12.96/4)</f>
        <v>7.29</v>
      </c>
      <c r="H4" s="1"/>
      <c r="I4" s="5">
        <f>G4</f>
        <v>7.29</v>
      </c>
    </row>
    <row r="5" spans="1:9" ht="17" x14ac:dyDescent="0.2">
      <c r="A5" s="24">
        <v>4</v>
      </c>
      <c r="B5" s="23">
        <v>45932</v>
      </c>
      <c r="C5" s="4" t="s">
        <v>119</v>
      </c>
      <c r="D5" s="4" t="s">
        <v>116</v>
      </c>
      <c r="E5" s="4" t="s">
        <v>96</v>
      </c>
      <c r="F5" s="4" t="s">
        <v>73</v>
      </c>
      <c r="G5" s="6">
        <v>26</v>
      </c>
      <c r="H5" s="1"/>
      <c r="I5" s="5">
        <f>G5</f>
        <v>26</v>
      </c>
    </row>
    <row r="6" spans="1:9" ht="17" x14ac:dyDescent="0.2">
      <c r="A6" s="24">
        <v>5</v>
      </c>
      <c r="B6" s="23">
        <v>45933</v>
      </c>
      <c r="C6" s="4" t="s">
        <v>117</v>
      </c>
      <c r="D6" s="4" t="s">
        <v>118</v>
      </c>
      <c r="E6" s="4" t="s">
        <v>22</v>
      </c>
      <c r="F6" s="4" t="s">
        <v>38</v>
      </c>
      <c r="G6" s="6">
        <v>240</v>
      </c>
      <c r="H6" s="1"/>
      <c r="I6" s="5">
        <f>G6/4</f>
        <v>60</v>
      </c>
    </row>
    <row r="7" spans="1:9" ht="17" x14ac:dyDescent="0.2">
      <c r="A7" s="24">
        <v>6</v>
      </c>
      <c r="B7" s="23">
        <v>45933</v>
      </c>
      <c r="C7" s="4" t="s">
        <v>124</v>
      </c>
      <c r="D7" s="4" t="s">
        <v>125</v>
      </c>
      <c r="E7" s="4" t="s">
        <v>96</v>
      </c>
      <c r="F7" s="4" t="s">
        <v>40</v>
      </c>
      <c r="G7" s="6">
        <v>59.39</v>
      </c>
      <c r="H7" s="1"/>
      <c r="I7" s="5">
        <f>G7/2</f>
        <v>29.695</v>
      </c>
    </row>
    <row r="8" spans="1:9" ht="17" x14ac:dyDescent="0.2">
      <c r="A8" s="24">
        <v>7</v>
      </c>
      <c r="B8" s="23">
        <v>45934</v>
      </c>
      <c r="C8" s="4" t="s">
        <v>28</v>
      </c>
      <c r="D8" s="4" t="s">
        <v>127</v>
      </c>
      <c r="E8" s="4" t="s">
        <v>16</v>
      </c>
      <c r="F8" s="4" t="s">
        <v>40</v>
      </c>
      <c r="G8" s="6">
        <v>11.96</v>
      </c>
      <c r="H8" s="1"/>
      <c r="I8" s="5">
        <f>G8/2</f>
        <v>5.98</v>
      </c>
    </row>
    <row r="9" spans="1:9" ht="17" x14ac:dyDescent="0.2">
      <c r="A9" s="24">
        <v>8</v>
      </c>
      <c r="B9" s="23">
        <v>45934</v>
      </c>
      <c r="C9" s="4" t="s">
        <v>120</v>
      </c>
      <c r="D9" s="4" t="s">
        <v>99</v>
      </c>
      <c r="E9" s="4" t="s">
        <v>96</v>
      </c>
      <c r="F9" s="4" t="s">
        <v>38</v>
      </c>
      <c r="G9" s="6">
        <v>1.85</v>
      </c>
      <c r="H9" s="1"/>
      <c r="I9" s="5">
        <f>G9</f>
        <v>1.85</v>
      </c>
    </row>
    <row r="10" spans="1:9" ht="17" x14ac:dyDescent="0.2">
      <c r="A10" s="24">
        <v>9</v>
      </c>
      <c r="B10" s="23">
        <v>45934</v>
      </c>
      <c r="C10" s="4" t="s">
        <v>48</v>
      </c>
      <c r="D10" s="4" t="s">
        <v>121</v>
      </c>
      <c r="E10" s="4" t="s">
        <v>96</v>
      </c>
      <c r="F10" s="4" t="s">
        <v>52</v>
      </c>
      <c r="G10" s="6">
        <v>20.58</v>
      </c>
      <c r="H10" s="1"/>
      <c r="I10" s="5">
        <f>G10/4</f>
        <v>5.1449999999999996</v>
      </c>
    </row>
    <row r="11" spans="1:9" ht="34" x14ac:dyDescent="0.2">
      <c r="A11" s="24">
        <v>10</v>
      </c>
      <c r="B11" s="23">
        <v>45935</v>
      </c>
      <c r="C11" s="4" t="s">
        <v>66</v>
      </c>
      <c r="D11" s="4" t="s">
        <v>122</v>
      </c>
      <c r="E11" s="4" t="s">
        <v>16</v>
      </c>
      <c r="F11" s="4" t="s">
        <v>52</v>
      </c>
      <c r="G11" s="6">
        <v>2.6</v>
      </c>
      <c r="H11" s="1"/>
      <c r="I11" s="5">
        <f>G11</f>
        <v>2.6</v>
      </c>
    </row>
    <row r="12" spans="1:9" ht="17" x14ac:dyDescent="0.2">
      <c r="A12" s="24">
        <v>11</v>
      </c>
      <c r="B12" s="23">
        <v>45935</v>
      </c>
      <c r="C12" s="4" t="s">
        <v>28</v>
      </c>
      <c r="D12" s="4" t="s">
        <v>126</v>
      </c>
      <c r="E12" s="4" t="s">
        <v>16</v>
      </c>
      <c r="F12" s="4" t="s">
        <v>40</v>
      </c>
      <c r="G12" s="6">
        <v>11.98</v>
      </c>
      <c r="H12" s="1"/>
      <c r="I12" s="5">
        <f>G12/2</f>
        <v>5.99</v>
      </c>
    </row>
    <row r="13" spans="1:9" ht="17" x14ac:dyDescent="0.2">
      <c r="A13" s="24">
        <v>12</v>
      </c>
      <c r="B13" s="23">
        <v>45935</v>
      </c>
      <c r="C13" s="4" t="s">
        <v>28</v>
      </c>
      <c r="D13" s="4" t="s">
        <v>123</v>
      </c>
      <c r="E13" s="4" t="s">
        <v>16</v>
      </c>
      <c r="F13" s="4" t="s">
        <v>52</v>
      </c>
      <c r="G13" s="6">
        <v>25.67</v>
      </c>
      <c r="H13" s="1"/>
      <c r="I13" s="5">
        <f>G13/2</f>
        <v>12.835000000000001</v>
      </c>
    </row>
    <row r="14" spans="1:9" ht="17" x14ac:dyDescent="0.2">
      <c r="A14" s="24">
        <v>13</v>
      </c>
      <c r="B14" s="23">
        <v>45942</v>
      </c>
      <c r="C14" s="4" t="s">
        <v>75</v>
      </c>
      <c r="D14" s="4" t="s">
        <v>134</v>
      </c>
      <c r="E14" s="4" t="s">
        <v>11</v>
      </c>
      <c r="F14" s="4" t="s">
        <v>73</v>
      </c>
      <c r="G14" s="6">
        <v>27.84</v>
      </c>
      <c r="H14" s="1"/>
      <c r="I14" s="5">
        <f t="shared" ref="I14:I21" si="0">G14/4</f>
        <v>6.96</v>
      </c>
    </row>
    <row r="15" spans="1:9" ht="17" x14ac:dyDescent="0.2">
      <c r="A15" s="24">
        <v>14</v>
      </c>
      <c r="B15" s="23">
        <v>45942</v>
      </c>
      <c r="C15" s="4" t="s">
        <v>54</v>
      </c>
      <c r="D15" s="4" t="s">
        <v>135</v>
      </c>
      <c r="E15" s="4" t="s">
        <v>11</v>
      </c>
      <c r="F15" s="4" t="s">
        <v>73</v>
      </c>
      <c r="G15" s="6">
        <v>64.2</v>
      </c>
      <c r="H15" s="1"/>
      <c r="I15" s="5">
        <f t="shared" si="0"/>
        <v>16.05</v>
      </c>
    </row>
    <row r="16" spans="1:9" ht="17" x14ac:dyDescent="0.2">
      <c r="A16" s="24">
        <v>15</v>
      </c>
      <c r="B16" s="23">
        <v>45943</v>
      </c>
      <c r="C16" s="4" t="s">
        <v>117</v>
      </c>
      <c r="D16" s="4" t="s">
        <v>35</v>
      </c>
      <c r="E16" s="4" t="s">
        <v>35</v>
      </c>
      <c r="F16" s="4" t="s">
        <v>73</v>
      </c>
      <c r="G16" s="6">
        <v>4512.5</v>
      </c>
      <c r="H16" s="1"/>
      <c r="I16" s="5">
        <f t="shared" si="0"/>
        <v>1128.125</v>
      </c>
    </row>
    <row r="17" spans="1:9" ht="17" x14ac:dyDescent="0.2">
      <c r="A17" s="24">
        <v>16</v>
      </c>
      <c r="B17" s="23">
        <v>45944</v>
      </c>
      <c r="C17" s="4" t="s">
        <v>117</v>
      </c>
      <c r="D17" s="4" t="s">
        <v>136</v>
      </c>
      <c r="E17" s="4" t="s">
        <v>22</v>
      </c>
      <c r="F17" s="4" t="s">
        <v>73</v>
      </c>
      <c r="G17" s="6">
        <v>30</v>
      </c>
      <c r="H17" s="1"/>
      <c r="I17" s="5">
        <f t="shared" si="0"/>
        <v>7.5</v>
      </c>
    </row>
    <row r="18" spans="1:9" ht="17" x14ac:dyDescent="0.2">
      <c r="A18" s="24">
        <v>17</v>
      </c>
      <c r="B18" s="23">
        <v>45944</v>
      </c>
      <c r="C18" s="4" t="s">
        <v>137</v>
      </c>
      <c r="D18" s="4" t="s">
        <v>138</v>
      </c>
      <c r="E18" s="4" t="s">
        <v>11</v>
      </c>
      <c r="F18" s="4" t="s">
        <v>73</v>
      </c>
      <c r="G18" s="6">
        <v>9.61</v>
      </c>
      <c r="H18" s="1"/>
      <c r="I18" s="5">
        <f t="shared" si="0"/>
        <v>2.4024999999999999</v>
      </c>
    </row>
    <row r="19" spans="1:9" ht="17" x14ac:dyDescent="0.2">
      <c r="A19" s="24">
        <v>18</v>
      </c>
      <c r="B19" s="23">
        <v>45944</v>
      </c>
      <c r="C19" s="4" t="s">
        <v>75</v>
      </c>
      <c r="D19" s="4" t="s">
        <v>139</v>
      </c>
      <c r="E19" s="4" t="s">
        <v>11</v>
      </c>
      <c r="F19" s="4" t="s">
        <v>73</v>
      </c>
      <c r="G19" s="6">
        <v>35.799999999999997</v>
      </c>
      <c r="H19" s="1"/>
      <c r="I19" s="5">
        <f t="shared" si="0"/>
        <v>8.9499999999999993</v>
      </c>
    </row>
    <row r="20" spans="1:9" ht="17" x14ac:dyDescent="0.2">
      <c r="A20" s="24">
        <v>19</v>
      </c>
      <c r="B20" s="23">
        <v>45944</v>
      </c>
      <c r="C20" s="4" t="s">
        <v>54</v>
      </c>
      <c r="D20" s="4" t="s">
        <v>140</v>
      </c>
      <c r="E20" s="4" t="s">
        <v>11</v>
      </c>
      <c r="F20" s="4" t="s">
        <v>73</v>
      </c>
      <c r="G20" s="6">
        <v>25</v>
      </c>
      <c r="H20" s="1"/>
      <c r="I20" s="5">
        <f t="shared" si="0"/>
        <v>6.25</v>
      </c>
    </row>
    <row r="21" spans="1:9" ht="17" x14ac:dyDescent="0.2">
      <c r="A21" s="24">
        <v>20</v>
      </c>
      <c r="B21" s="23">
        <v>45945</v>
      </c>
      <c r="C21" s="4" t="s">
        <v>54</v>
      </c>
      <c r="D21" s="4" t="s">
        <v>141</v>
      </c>
      <c r="E21" s="4" t="s">
        <v>11</v>
      </c>
      <c r="F21" s="4" t="s">
        <v>40</v>
      </c>
      <c r="G21" s="6">
        <v>13.54</v>
      </c>
      <c r="H21" s="1"/>
      <c r="I21" s="5">
        <f t="shared" si="0"/>
        <v>3.3849999999999998</v>
      </c>
    </row>
    <row r="22" spans="1:9" ht="17" x14ac:dyDescent="0.2">
      <c r="A22" s="24">
        <v>21</v>
      </c>
      <c r="B22" s="23">
        <v>45946</v>
      </c>
      <c r="C22" s="4" t="s">
        <v>132</v>
      </c>
      <c r="D22" s="4" t="s">
        <v>133</v>
      </c>
      <c r="E22" s="4" t="s">
        <v>22</v>
      </c>
      <c r="F22" s="4" t="s">
        <v>38</v>
      </c>
      <c r="G22" s="6">
        <v>70</v>
      </c>
      <c r="H22" s="1"/>
      <c r="I22" s="5">
        <f>G22</f>
        <v>70</v>
      </c>
    </row>
    <row r="23" spans="1:9" ht="17" x14ac:dyDescent="0.2">
      <c r="A23" s="24">
        <v>22</v>
      </c>
      <c r="B23" s="23">
        <v>45946</v>
      </c>
      <c r="C23" s="4" t="s">
        <v>75</v>
      </c>
      <c r="D23" s="4" t="s">
        <v>142</v>
      </c>
      <c r="E23" s="4" t="s">
        <v>11</v>
      </c>
      <c r="F23" s="4" t="s">
        <v>40</v>
      </c>
      <c r="G23" s="6">
        <v>13.63</v>
      </c>
      <c r="H23" s="1"/>
      <c r="I23" s="5">
        <f>G23</f>
        <v>13.63</v>
      </c>
    </row>
    <row r="24" spans="1:9" ht="17" x14ac:dyDescent="0.2">
      <c r="A24" s="24">
        <v>23</v>
      </c>
      <c r="B24" s="23">
        <v>45946</v>
      </c>
      <c r="C24" s="4" t="s">
        <v>75</v>
      </c>
      <c r="D24" s="4" t="s">
        <v>143</v>
      </c>
      <c r="E24" s="4" t="s">
        <v>11</v>
      </c>
      <c r="F24" s="4" t="s">
        <v>40</v>
      </c>
      <c r="G24" s="6">
        <v>15.69</v>
      </c>
      <c r="H24" s="1"/>
      <c r="I24" s="5">
        <f>G24/4</f>
        <v>3.9224999999999999</v>
      </c>
    </row>
    <row r="25" spans="1:9" ht="17" x14ac:dyDescent="0.2">
      <c r="A25" s="24">
        <v>24</v>
      </c>
      <c r="B25" s="23">
        <v>45946</v>
      </c>
      <c r="C25" s="4" t="s">
        <v>144</v>
      </c>
      <c r="D25" s="4" t="s">
        <v>145</v>
      </c>
      <c r="E25" s="4" t="s">
        <v>20</v>
      </c>
      <c r="F25" s="4" t="s">
        <v>73</v>
      </c>
      <c r="G25" s="6">
        <v>7.85</v>
      </c>
      <c r="H25" s="1"/>
      <c r="I25" s="5">
        <f>G25/4</f>
        <v>1.9624999999999999</v>
      </c>
    </row>
    <row r="26" spans="1:9" ht="17" x14ac:dyDescent="0.2">
      <c r="A26" s="24">
        <v>25</v>
      </c>
      <c r="B26" s="23">
        <v>45946</v>
      </c>
      <c r="C26" s="4" t="s">
        <v>137</v>
      </c>
      <c r="D26" s="4" t="s">
        <v>146</v>
      </c>
      <c r="E26" s="4" t="s">
        <v>11</v>
      </c>
      <c r="F26" s="4" t="s">
        <v>73</v>
      </c>
      <c r="G26" s="6">
        <v>10.15</v>
      </c>
      <c r="H26" s="1"/>
      <c r="I26" s="5">
        <f>G26/4</f>
        <v>2.5375000000000001</v>
      </c>
    </row>
    <row r="27" spans="1:9" ht="17" x14ac:dyDescent="0.2">
      <c r="A27" s="24">
        <v>26</v>
      </c>
      <c r="B27" s="23">
        <v>45946</v>
      </c>
      <c r="C27" s="4" t="s">
        <v>144</v>
      </c>
      <c r="D27" s="4" t="s">
        <v>147</v>
      </c>
      <c r="E27" s="4" t="s">
        <v>20</v>
      </c>
      <c r="F27" s="4" t="s">
        <v>73</v>
      </c>
      <c r="G27" s="6">
        <v>3</v>
      </c>
      <c r="H27" s="1"/>
      <c r="I27" s="5">
        <f>G27/4</f>
        <v>0.75</v>
      </c>
    </row>
    <row r="28" spans="1:9" ht="17" x14ac:dyDescent="0.2">
      <c r="A28" s="24">
        <v>27</v>
      </c>
      <c r="B28" s="23">
        <v>45947</v>
      </c>
      <c r="C28" s="4" t="s">
        <v>148</v>
      </c>
      <c r="D28" s="4" t="s">
        <v>149</v>
      </c>
      <c r="E28" s="4" t="s">
        <v>11</v>
      </c>
      <c r="F28" s="4" t="s">
        <v>52</v>
      </c>
      <c r="G28" s="6">
        <v>2.67</v>
      </c>
      <c r="H28" s="1"/>
      <c r="I28" s="5">
        <f>G28/2</f>
        <v>1.335</v>
      </c>
    </row>
    <row r="29" spans="1:9" ht="17" x14ac:dyDescent="0.2">
      <c r="A29" s="24">
        <v>28</v>
      </c>
      <c r="B29" s="23">
        <v>45947</v>
      </c>
      <c r="C29" s="4" t="s">
        <v>130</v>
      </c>
      <c r="D29" s="4" t="s">
        <v>131</v>
      </c>
      <c r="E29" s="4" t="s">
        <v>11</v>
      </c>
      <c r="F29" s="4" t="s">
        <v>52</v>
      </c>
      <c r="G29" s="6">
        <v>15.9</v>
      </c>
      <c r="H29" s="1"/>
      <c r="I29" s="5">
        <f t="shared" ref="I29:I34" si="1">G29/4</f>
        <v>3.9750000000000001</v>
      </c>
    </row>
    <row r="30" spans="1:9" ht="17" x14ac:dyDescent="0.2">
      <c r="A30" s="24">
        <v>29</v>
      </c>
      <c r="B30" s="23">
        <v>45947</v>
      </c>
      <c r="C30" s="4" t="s">
        <v>144</v>
      </c>
      <c r="D30" s="4" t="s">
        <v>150</v>
      </c>
      <c r="E30" s="4" t="s">
        <v>20</v>
      </c>
      <c r="F30" s="4" t="s">
        <v>73</v>
      </c>
      <c r="G30" s="6">
        <v>1.73</v>
      </c>
      <c r="H30" s="1"/>
      <c r="I30" s="5">
        <f t="shared" si="1"/>
        <v>0.4325</v>
      </c>
    </row>
    <row r="31" spans="1:9" ht="17" x14ac:dyDescent="0.2">
      <c r="A31" s="24">
        <v>30</v>
      </c>
      <c r="B31" s="23">
        <v>45947</v>
      </c>
      <c r="C31" s="4" t="s">
        <v>54</v>
      </c>
      <c r="D31" s="4" t="s">
        <v>151</v>
      </c>
      <c r="E31" s="4" t="s">
        <v>11</v>
      </c>
      <c r="F31" s="4" t="s">
        <v>40</v>
      </c>
      <c r="G31" s="6">
        <v>10.65</v>
      </c>
      <c r="H31" s="1"/>
      <c r="I31" s="5">
        <f t="shared" si="1"/>
        <v>2.6625000000000001</v>
      </c>
    </row>
    <row r="32" spans="1:9" ht="17" x14ac:dyDescent="0.2">
      <c r="A32" s="24">
        <v>31</v>
      </c>
      <c r="B32" s="23">
        <v>45948</v>
      </c>
      <c r="C32" s="4" t="s">
        <v>144</v>
      </c>
      <c r="D32" s="4" t="s">
        <v>175</v>
      </c>
      <c r="E32" s="4" t="s">
        <v>20</v>
      </c>
      <c r="F32" s="4" t="s">
        <v>40</v>
      </c>
      <c r="G32" s="6">
        <v>5.68</v>
      </c>
      <c r="H32" s="1"/>
      <c r="I32" s="5">
        <f t="shared" si="1"/>
        <v>1.42</v>
      </c>
    </row>
    <row r="33" spans="1:9" ht="17" x14ac:dyDescent="0.2">
      <c r="A33" s="24">
        <v>32</v>
      </c>
      <c r="B33" s="23">
        <v>45948</v>
      </c>
      <c r="C33" s="4" t="s">
        <v>137</v>
      </c>
      <c r="D33" s="4" t="s">
        <v>152</v>
      </c>
      <c r="E33" s="4" t="s">
        <v>11</v>
      </c>
      <c r="F33" s="4" t="s">
        <v>40</v>
      </c>
      <c r="G33" s="6">
        <v>2.14</v>
      </c>
      <c r="H33" s="1"/>
      <c r="I33" s="5">
        <f t="shared" si="1"/>
        <v>0.53500000000000003</v>
      </c>
    </row>
    <row r="34" spans="1:9" ht="17" x14ac:dyDescent="0.2">
      <c r="A34" s="24">
        <v>33</v>
      </c>
      <c r="B34" s="23">
        <v>45948</v>
      </c>
      <c r="C34" s="4" t="s">
        <v>75</v>
      </c>
      <c r="D34" s="4" t="s">
        <v>20</v>
      </c>
      <c r="E34" s="4" t="s">
        <v>20</v>
      </c>
      <c r="F34" s="4" t="s">
        <v>73</v>
      </c>
      <c r="G34" s="6">
        <v>39.299999999999997</v>
      </c>
      <c r="H34" s="1"/>
      <c r="I34" s="5">
        <f t="shared" si="1"/>
        <v>9.8249999999999993</v>
      </c>
    </row>
    <row r="35" spans="1:9" ht="17" x14ac:dyDescent="0.2">
      <c r="A35" s="24">
        <v>34</v>
      </c>
      <c r="B35" s="23">
        <v>45948</v>
      </c>
      <c r="C35" s="4" t="s">
        <v>75</v>
      </c>
      <c r="D35" s="4" t="s">
        <v>153</v>
      </c>
      <c r="E35" s="4" t="s">
        <v>11</v>
      </c>
      <c r="F35" s="4" t="s">
        <v>73</v>
      </c>
      <c r="G35" s="6">
        <v>2.88</v>
      </c>
      <c r="H35" s="1"/>
      <c r="I35" s="5">
        <v>1.44</v>
      </c>
    </row>
    <row r="36" spans="1:9" ht="17" x14ac:dyDescent="0.2">
      <c r="A36" s="24">
        <v>35</v>
      </c>
      <c r="B36" s="23">
        <v>45949</v>
      </c>
      <c r="C36" s="4" t="s">
        <v>128</v>
      </c>
      <c r="D36" s="4" t="s">
        <v>129</v>
      </c>
      <c r="E36" s="4" t="s">
        <v>11</v>
      </c>
      <c r="F36" s="4" t="s">
        <v>61</v>
      </c>
      <c r="G36" s="6">
        <v>10</v>
      </c>
      <c r="H36" s="1"/>
      <c r="I36" s="5">
        <f t="shared" ref="I36:I42" si="2">G36</f>
        <v>10</v>
      </c>
    </row>
    <row r="37" spans="1:9" ht="17" x14ac:dyDescent="0.2">
      <c r="A37" s="24">
        <v>36</v>
      </c>
      <c r="B37" s="23">
        <v>45950</v>
      </c>
      <c r="C37" s="4" t="s">
        <v>154</v>
      </c>
      <c r="D37" s="4" t="s">
        <v>155</v>
      </c>
      <c r="E37" s="4" t="s">
        <v>11</v>
      </c>
      <c r="F37" s="4" t="s">
        <v>52</v>
      </c>
      <c r="G37" s="6">
        <v>8</v>
      </c>
      <c r="H37" s="1"/>
      <c r="I37" s="5">
        <f t="shared" si="2"/>
        <v>8</v>
      </c>
    </row>
    <row r="38" spans="1:9" ht="34" x14ac:dyDescent="0.2">
      <c r="A38" s="24">
        <v>37</v>
      </c>
      <c r="B38" s="23">
        <v>45951</v>
      </c>
      <c r="C38" s="4" t="s">
        <v>66</v>
      </c>
      <c r="D38" s="4" t="s">
        <v>156</v>
      </c>
      <c r="E38" s="4" t="s">
        <v>16</v>
      </c>
      <c r="F38" s="4" t="s">
        <v>52</v>
      </c>
      <c r="G38" s="6">
        <v>16.55</v>
      </c>
      <c r="H38" s="1"/>
      <c r="I38" s="5">
        <f t="shared" si="2"/>
        <v>16.55</v>
      </c>
    </row>
    <row r="39" spans="1:9" ht="17" x14ac:dyDescent="0.2">
      <c r="A39" s="24">
        <v>38</v>
      </c>
      <c r="B39" s="23">
        <v>45951</v>
      </c>
      <c r="C39" s="4" t="s">
        <v>157</v>
      </c>
      <c r="D39" s="4" t="s">
        <v>158</v>
      </c>
      <c r="E39" s="4" t="s">
        <v>16</v>
      </c>
      <c r="F39" s="4" t="s">
        <v>52</v>
      </c>
      <c r="G39" s="6">
        <v>2.9</v>
      </c>
      <c r="H39" s="1"/>
      <c r="I39" s="5">
        <f t="shared" si="2"/>
        <v>2.9</v>
      </c>
    </row>
    <row r="40" spans="1:9" ht="17" x14ac:dyDescent="0.2">
      <c r="A40" s="24">
        <v>39</v>
      </c>
      <c r="B40" s="23">
        <v>45951</v>
      </c>
      <c r="C40" s="4" t="s">
        <v>157</v>
      </c>
      <c r="D40" s="4" t="s">
        <v>159</v>
      </c>
      <c r="E40" s="4" t="s">
        <v>16</v>
      </c>
      <c r="F40" s="4" t="s">
        <v>52</v>
      </c>
      <c r="G40" s="6">
        <v>2.9</v>
      </c>
      <c r="H40" s="1"/>
      <c r="I40" s="5">
        <f t="shared" si="2"/>
        <v>2.9</v>
      </c>
    </row>
    <row r="41" spans="1:9" ht="17" x14ac:dyDescent="0.2">
      <c r="A41" s="24">
        <v>40</v>
      </c>
      <c r="B41" s="23">
        <v>45951</v>
      </c>
      <c r="C41" s="4" t="s">
        <v>160</v>
      </c>
      <c r="D41" s="4" t="s">
        <v>161</v>
      </c>
      <c r="E41" s="4" t="s">
        <v>96</v>
      </c>
      <c r="F41" s="4" t="s">
        <v>52</v>
      </c>
      <c r="G41" s="6">
        <v>5.57</v>
      </c>
      <c r="H41" s="1"/>
      <c r="I41" s="5">
        <f t="shared" si="2"/>
        <v>5.57</v>
      </c>
    </row>
    <row r="42" spans="1:9" ht="34" x14ac:dyDescent="0.2">
      <c r="A42" s="24">
        <v>41</v>
      </c>
      <c r="B42" s="23">
        <v>45951</v>
      </c>
      <c r="C42" s="4" t="s">
        <v>66</v>
      </c>
      <c r="D42" s="4" t="s">
        <v>162</v>
      </c>
      <c r="E42" s="4" t="s">
        <v>16</v>
      </c>
      <c r="F42" s="4" t="s">
        <v>52</v>
      </c>
      <c r="G42" s="6">
        <v>11.5</v>
      </c>
      <c r="H42" s="1"/>
      <c r="I42" s="5">
        <f t="shared" si="2"/>
        <v>11.5</v>
      </c>
    </row>
    <row r="43" spans="1:9" ht="17" x14ac:dyDescent="0.2">
      <c r="A43" s="24">
        <v>42</v>
      </c>
      <c r="B43" s="23">
        <v>45952</v>
      </c>
      <c r="C43" s="4" t="s">
        <v>75</v>
      </c>
      <c r="D43" s="4" t="s">
        <v>20</v>
      </c>
      <c r="E43" s="4" t="s">
        <v>20</v>
      </c>
      <c r="F43" s="4" t="s">
        <v>73</v>
      </c>
      <c r="G43" s="6">
        <v>12.2</v>
      </c>
      <c r="H43" s="1"/>
      <c r="I43" s="5">
        <f>G43/4</f>
        <v>3.05</v>
      </c>
    </row>
    <row r="44" spans="1:9" ht="34" x14ac:dyDescent="0.2">
      <c r="A44" s="24">
        <v>43</v>
      </c>
      <c r="B44" s="23">
        <v>45953</v>
      </c>
      <c r="C44" s="4" t="s">
        <v>163</v>
      </c>
      <c r="D44" s="4" t="s">
        <v>164</v>
      </c>
      <c r="E44" s="4" t="s">
        <v>16</v>
      </c>
      <c r="F44" s="4" t="s">
        <v>52</v>
      </c>
      <c r="G44" s="6">
        <f>4*3</f>
        <v>12</v>
      </c>
      <c r="H44" s="1"/>
      <c r="I44" s="5">
        <f>8/3</f>
        <v>2.6666666666666665</v>
      </c>
    </row>
    <row r="45" spans="1:9" ht="17" x14ac:dyDescent="0.2">
      <c r="A45" s="24">
        <v>44</v>
      </c>
      <c r="B45" s="23">
        <v>45953</v>
      </c>
      <c r="C45" s="4" t="s">
        <v>148</v>
      </c>
      <c r="D45" s="4" t="s">
        <v>105</v>
      </c>
      <c r="E45" s="4" t="s">
        <v>96</v>
      </c>
      <c r="F45" s="4" t="s">
        <v>52</v>
      </c>
      <c r="G45" s="6">
        <v>13.1</v>
      </c>
      <c r="H45" s="1"/>
      <c r="I45" s="5">
        <f>G45-9.41</f>
        <v>3.6899999999999995</v>
      </c>
    </row>
    <row r="46" spans="1:9" ht="17" x14ac:dyDescent="0.2">
      <c r="A46" s="24">
        <v>45</v>
      </c>
      <c r="B46" s="23">
        <v>45953</v>
      </c>
      <c r="C46" s="4" t="s">
        <v>165</v>
      </c>
      <c r="D46" s="4" t="s">
        <v>166</v>
      </c>
      <c r="E46" s="4" t="s">
        <v>96</v>
      </c>
      <c r="F46" s="4" t="s">
        <v>52</v>
      </c>
      <c r="G46" s="6">
        <v>59.08</v>
      </c>
      <c r="H46" s="1"/>
      <c r="I46" s="5">
        <f>G46/3</f>
        <v>19.693333333333332</v>
      </c>
    </row>
    <row r="47" spans="1:9" ht="17" x14ac:dyDescent="0.2">
      <c r="A47" s="24">
        <v>46</v>
      </c>
      <c r="B47" s="23">
        <v>45953</v>
      </c>
      <c r="C47" s="4" t="s">
        <v>167</v>
      </c>
      <c r="D47" s="4" t="s">
        <v>168</v>
      </c>
      <c r="E47" s="4" t="s">
        <v>96</v>
      </c>
      <c r="F47" s="4" t="s">
        <v>52</v>
      </c>
      <c r="G47" s="6">
        <v>23.03</v>
      </c>
      <c r="H47" s="1"/>
      <c r="I47" s="5">
        <f>G47</f>
        <v>23.03</v>
      </c>
    </row>
    <row r="48" spans="1:9" ht="17" x14ac:dyDescent="0.2">
      <c r="A48" s="24">
        <v>47</v>
      </c>
      <c r="B48" s="23">
        <v>45954</v>
      </c>
      <c r="C48" s="4" t="s">
        <v>144</v>
      </c>
      <c r="D48" s="4" t="s">
        <v>178</v>
      </c>
      <c r="E48" s="4" t="s">
        <v>20</v>
      </c>
      <c r="F48" s="4" t="s">
        <v>40</v>
      </c>
      <c r="G48" s="6">
        <v>5</v>
      </c>
      <c r="H48" s="1"/>
      <c r="I48" s="5">
        <v>1.59</v>
      </c>
    </row>
    <row r="49" spans="1:11" ht="34" x14ac:dyDescent="0.2">
      <c r="A49" s="24">
        <v>48</v>
      </c>
      <c r="B49" s="23">
        <v>45955</v>
      </c>
      <c r="C49" s="4" t="s">
        <v>28</v>
      </c>
      <c r="D49" s="4" t="s">
        <v>169</v>
      </c>
      <c r="E49" s="4" t="s">
        <v>16</v>
      </c>
      <c r="F49" s="4" t="s">
        <v>52</v>
      </c>
      <c r="G49" s="6">
        <v>11.84</v>
      </c>
      <c r="H49" s="1"/>
      <c r="I49" s="5">
        <f>G49/4</f>
        <v>2.96</v>
      </c>
    </row>
    <row r="50" spans="1:11" ht="17" x14ac:dyDescent="0.2">
      <c r="A50" s="24">
        <v>49</v>
      </c>
      <c r="B50" s="23">
        <v>45955</v>
      </c>
      <c r="C50" s="4" t="s">
        <v>128</v>
      </c>
      <c r="D50" s="4" t="s">
        <v>174</v>
      </c>
      <c r="E50" s="4" t="s">
        <v>11</v>
      </c>
      <c r="F50" s="4" t="s">
        <v>38</v>
      </c>
      <c r="G50" s="6">
        <v>30</v>
      </c>
      <c r="H50" s="1"/>
      <c r="I50" s="5">
        <v>30</v>
      </c>
    </row>
    <row r="51" spans="1:11" ht="17" x14ac:dyDescent="0.2">
      <c r="A51" s="24">
        <v>50</v>
      </c>
      <c r="B51" s="23">
        <v>45955</v>
      </c>
      <c r="C51" s="4" t="s">
        <v>170</v>
      </c>
      <c r="D51" s="4" t="s">
        <v>121</v>
      </c>
      <c r="E51" s="4" t="s">
        <v>96</v>
      </c>
      <c r="F51" s="4" t="s">
        <v>171</v>
      </c>
      <c r="G51" s="6">
        <v>49.63</v>
      </c>
      <c r="H51" s="1"/>
      <c r="I51" s="5">
        <f>G51/2</f>
        <v>24.815000000000001</v>
      </c>
    </row>
    <row r="52" spans="1:11" ht="17" x14ac:dyDescent="0.2">
      <c r="A52" s="24">
        <v>51</v>
      </c>
      <c r="B52" s="23">
        <v>45955</v>
      </c>
      <c r="C52" s="4" t="s">
        <v>172</v>
      </c>
      <c r="D52" s="4" t="s">
        <v>173</v>
      </c>
      <c r="E52" s="4" t="s">
        <v>96</v>
      </c>
      <c r="F52" s="4" t="s">
        <v>171</v>
      </c>
      <c r="G52" s="6">
        <v>6</v>
      </c>
      <c r="H52" s="1"/>
      <c r="I52" s="5">
        <f>G52/3</f>
        <v>2</v>
      </c>
    </row>
    <row r="53" spans="1:11" ht="17" x14ac:dyDescent="0.2">
      <c r="A53" s="24">
        <v>52</v>
      </c>
      <c r="B53" s="23">
        <v>45956</v>
      </c>
      <c r="C53" s="4" t="s">
        <v>75</v>
      </c>
      <c r="D53" s="4" t="s">
        <v>20</v>
      </c>
      <c r="E53" s="4" t="s">
        <v>20</v>
      </c>
      <c r="F53" s="4" t="s">
        <v>73</v>
      </c>
      <c r="G53" s="6">
        <v>11.03</v>
      </c>
      <c r="H53" s="1"/>
      <c r="I53" s="5">
        <f>G53/4</f>
        <v>2.7574999999999998</v>
      </c>
    </row>
    <row r="54" spans="1:11" ht="17" x14ac:dyDescent="0.2">
      <c r="A54" s="24">
        <v>53</v>
      </c>
      <c r="B54" s="23">
        <v>45956</v>
      </c>
      <c r="C54" s="4" t="s">
        <v>54</v>
      </c>
      <c r="D54" s="4" t="s">
        <v>176</v>
      </c>
      <c r="E54" s="4" t="s">
        <v>22</v>
      </c>
      <c r="F54" s="4" t="s">
        <v>52</v>
      </c>
      <c r="G54" s="6">
        <v>1.61</v>
      </c>
      <c r="H54" s="1"/>
      <c r="I54" s="5">
        <f>G54</f>
        <v>1.61</v>
      </c>
    </row>
    <row r="55" spans="1:11" ht="34" x14ac:dyDescent="0.2">
      <c r="A55" s="24">
        <v>54</v>
      </c>
      <c r="B55" s="23">
        <v>45956</v>
      </c>
      <c r="C55" s="4" t="s">
        <v>54</v>
      </c>
      <c r="D55" s="4" t="s">
        <v>177</v>
      </c>
      <c r="E55" s="4" t="s">
        <v>11</v>
      </c>
      <c r="F55" s="4" t="s">
        <v>52</v>
      </c>
      <c r="G55" s="6">
        <v>30.05</v>
      </c>
      <c r="H55" s="1"/>
      <c r="I55" s="5">
        <f>G55</f>
        <v>30.05</v>
      </c>
    </row>
    <row r="56" spans="1:11" ht="17" x14ac:dyDescent="0.2">
      <c r="A56" s="24">
        <v>55</v>
      </c>
      <c r="B56" s="23">
        <v>45956</v>
      </c>
      <c r="C56" s="4" t="s">
        <v>75</v>
      </c>
      <c r="D56" s="4" t="s">
        <v>20</v>
      </c>
      <c r="E56" s="4" t="s">
        <v>20</v>
      </c>
      <c r="F56" s="4" t="s">
        <v>73</v>
      </c>
      <c r="G56" s="6">
        <v>11</v>
      </c>
      <c r="H56" s="1"/>
      <c r="I56" s="5">
        <f>G56/4</f>
        <v>2.75</v>
      </c>
    </row>
    <row r="57" spans="1:11" ht="17" x14ac:dyDescent="0.2">
      <c r="A57" s="24">
        <v>56</v>
      </c>
      <c r="B57" s="23">
        <v>45956</v>
      </c>
      <c r="C57" s="4" t="s">
        <v>75</v>
      </c>
      <c r="D57" s="4" t="s">
        <v>94</v>
      </c>
      <c r="E57" s="4" t="s">
        <v>20</v>
      </c>
      <c r="F57" s="4" t="s">
        <v>73</v>
      </c>
      <c r="G57" s="6">
        <v>4</v>
      </c>
      <c r="H57" s="1"/>
      <c r="I57" s="5">
        <f>G57</f>
        <v>4</v>
      </c>
    </row>
    <row r="58" spans="1:11" ht="17" x14ac:dyDescent="0.2">
      <c r="A58" s="24">
        <v>57</v>
      </c>
      <c r="B58" s="3">
        <v>45956</v>
      </c>
      <c r="C58" s="4" t="s">
        <v>75</v>
      </c>
      <c r="D58" s="4" t="s">
        <v>20</v>
      </c>
      <c r="E58" s="4" t="s">
        <v>20</v>
      </c>
      <c r="F58" s="4" t="s">
        <v>73</v>
      </c>
      <c r="G58" s="6">
        <v>8.9499999999999993</v>
      </c>
      <c r="H58" s="1"/>
      <c r="I58" s="5">
        <f>G58/4</f>
        <v>2.2374999999999998</v>
      </c>
      <c r="K58" s="7"/>
    </row>
    <row r="59" spans="1:11" ht="17" x14ac:dyDescent="0.2">
      <c r="A59" s="24">
        <v>58</v>
      </c>
      <c r="B59" s="3">
        <v>45957</v>
      </c>
      <c r="C59" s="4" t="s">
        <v>128</v>
      </c>
      <c r="D59" s="4" t="s">
        <v>179</v>
      </c>
      <c r="E59" s="4" t="s">
        <v>11</v>
      </c>
      <c r="F59" s="4" t="s">
        <v>38</v>
      </c>
      <c r="G59" s="6">
        <v>5</v>
      </c>
      <c r="H59" s="1"/>
      <c r="I59" s="5">
        <f>G59/4</f>
        <v>1.25</v>
      </c>
      <c r="K59" s="7"/>
    </row>
    <row r="60" spans="1:11" ht="17" x14ac:dyDescent="0.2">
      <c r="A60" s="24">
        <v>59</v>
      </c>
      <c r="B60" s="3">
        <v>45957</v>
      </c>
      <c r="C60" s="4" t="s">
        <v>86</v>
      </c>
      <c r="D60" s="4" t="s">
        <v>166</v>
      </c>
      <c r="E60" s="4" t="s">
        <v>96</v>
      </c>
      <c r="F60" s="4" t="s">
        <v>171</v>
      </c>
      <c r="G60" s="6">
        <v>17.260000000000002</v>
      </c>
      <c r="H60" s="1"/>
      <c r="I60" s="5">
        <f>G60-12.26</f>
        <v>5.0000000000000018</v>
      </c>
      <c r="K60" s="7"/>
    </row>
    <row r="61" spans="1:11" ht="17" x14ac:dyDescent="0.2">
      <c r="A61" s="24">
        <v>60</v>
      </c>
      <c r="B61" s="3">
        <v>45958</v>
      </c>
      <c r="C61" s="4" t="s">
        <v>128</v>
      </c>
      <c r="D61" s="4" t="s">
        <v>180</v>
      </c>
      <c r="E61" s="4" t="s">
        <v>11</v>
      </c>
      <c r="F61" s="4" t="s">
        <v>61</v>
      </c>
      <c r="G61" s="6">
        <v>4</v>
      </c>
      <c r="H61" s="1"/>
      <c r="I61" s="5">
        <f t="shared" ref="I61:I66" si="3">G61/4</f>
        <v>1</v>
      </c>
      <c r="K61" s="7"/>
    </row>
    <row r="62" spans="1:11" ht="17" x14ac:dyDescent="0.2">
      <c r="A62" s="24">
        <v>61</v>
      </c>
      <c r="B62" s="3">
        <v>45958</v>
      </c>
      <c r="C62" s="4" t="s">
        <v>75</v>
      </c>
      <c r="D62" s="4" t="s">
        <v>20</v>
      </c>
      <c r="E62" s="4" t="s">
        <v>20</v>
      </c>
      <c r="F62" s="4" t="s">
        <v>73</v>
      </c>
      <c r="G62" s="6">
        <v>3.98</v>
      </c>
      <c r="H62" s="1"/>
      <c r="I62" s="5">
        <f t="shared" si="3"/>
        <v>0.995</v>
      </c>
      <c r="K62" s="7"/>
    </row>
    <row r="63" spans="1:11" ht="17" x14ac:dyDescent="0.2">
      <c r="A63" s="24">
        <v>62</v>
      </c>
      <c r="B63" s="3">
        <v>45960</v>
      </c>
      <c r="C63" s="4" t="s">
        <v>181</v>
      </c>
      <c r="D63" s="4" t="s">
        <v>182</v>
      </c>
      <c r="E63" s="4" t="s">
        <v>16</v>
      </c>
      <c r="F63" s="4" t="s">
        <v>73</v>
      </c>
      <c r="G63" s="6">
        <v>13.8</v>
      </c>
      <c r="H63" s="1"/>
      <c r="I63" s="5">
        <f t="shared" si="3"/>
        <v>3.45</v>
      </c>
      <c r="K63" s="7"/>
    </row>
    <row r="64" spans="1:11" ht="17" x14ac:dyDescent="0.2">
      <c r="A64" s="24">
        <v>63</v>
      </c>
      <c r="B64" s="3">
        <v>45960</v>
      </c>
      <c r="C64" s="4" t="s">
        <v>28</v>
      </c>
      <c r="D64" s="4" t="s">
        <v>183</v>
      </c>
      <c r="E64" s="4" t="s">
        <v>16</v>
      </c>
      <c r="F64" s="4" t="s">
        <v>73</v>
      </c>
      <c r="G64" s="6">
        <v>10.47</v>
      </c>
      <c r="H64" s="1"/>
      <c r="I64" s="5">
        <f t="shared" si="3"/>
        <v>2.6175000000000002</v>
      </c>
      <c r="K64" s="7"/>
    </row>
    <row r="65" spans="1:12" ht="17" x14ac:dyDescent="0.2">
      <c r="A65" s="24">
        <v>64</v>
      </c>
      <c r="B65" s="3">
        <v>45960</v>
      </c>
      <c r="C65" s="4" t="s">
        <v>184</v>
      </c>
      <c r="D65" s="4" t="s">
        <v>185</v>
      </c>
      <c r="E65" s="4" t="s">
        <v>16</v>
      </c>
      <c r="F65" s="4" t="s">
        <v>73</v>
      </c>
      <c r="G65" s="6">
        <v>178.42</v>
      </c>
      <c r="H65" s="1"/>
      <c r="I65" s="5">
        <f t="shared" si="3"/>
        <v>44.604999999999997</v>
      </c>
      <c r="K65" s="7"/>
    </row>
    <row r="66" spans="1:12" ht="17" x14ac:dyDescent="0.2">
      <c r="A66" s="24">
        <v>65</v>
      </c>
      <c r="B66" s="3">
        <v>45960</v>
      </c>
      <c r="C66" s="4" t="s">
        <v>186</v>
      </c>
      <c r="D66" s="4" t="s">
        <v>187</v>
      </c>
      <c r="E66" s="4" t="s">
        <v>16</v>
      </c>
      <c r="F66" s="4" t="s">
        <v>73</v>
      </c>
      <c r="G66" s="6">
        <v>20</v>
      </c>
      <c r="H66" s="1"/>
      <c r="I66" s="5">
        <f t="shared" si="3"/>
        <v>5</v>
      </c>
      <c r="K66" s="7"/>
    </row>
    <row r="67" spans="1:12" ht="17" x14ac:dyDescent="0.2">
      <c r="A67" s="24">
        <v>66</v>
      </c>
      <c r="B67" s="3">
        <v>45960</v>
      </c>
      <c r="C67" s="4" t="s">
        <v>188</v>
      </c>
      <c r="D67" s="4" t="s">
        <v>189</v>
      </c>
      <c r="E67" s="4" t="s">
        <v>96</v>
      </c>
      <c r="F67" s="4" t="s">
        <v>38</v>
      </c>
      <c r="G67" s="6">
        <v>4</v>
      </c>
      <c r="H67" s="1"/>
      <c r="I67" s="5">
        <f>G67</f>
        <v>4</v>
      </c>
      <c r="K67" s="7"/>
    </row>
    <row r="68" spans="1:12" ht="17" x14ac:dyDescent="0.2">
      <c r="A68" s="24">
        <v>67</v>
      </c>
      <c r="B68" s="3">
        <v>45961</v>
      </c>
      <c r="C68" s="4" t="s">
        <v>25</v>
      </c>
      <c r="D68" s="4" t="s">
        <v>190</v>
      </c>
      <c r="E68" s="4" t="s">
        <v>20</v>
      </c>
      <c r="F68" s="4" t="s">
        <v>40</v>
      </c>
      <c r="G68" s="6">
        <v>1.04</v>
      </c>
      <c r="H68" s="1"/>
      <c r="I68" s="5">
        <f>G68/4</f>
        <v>0.26</v>
      </c>
      <c r="K68" s="7"/>
    </row>
    <row r="69" spans="1:12" ht="17" x14ac:dyDescent="0.2">
      <c r="A69" s="24">
        <v>68</v>
      </c>
      <c r="B69" s="3">
        <v>45961</v>
      </c>
      <c r="C69" s="4" t="s">
        <v>48</v>
      </c>
      <c r="D69" s="4" t="s">
        <v>166</v>
      </c>
      <c r="E69" s="4" t="s">
        <v>96</v>
      </c>
      <c r="F69" s="4" t="s">
        <v>171</v>
      </c>
      <c r="G69" s="6">
        <v>10.29</v>
      </c>
      <c r="H69" s="1"/>
      <c r="I69" s="5">
        <f>G69/2</f>
        <v>5.1449999999999996</v>
      </c>
      <c r="K69" s="7"/>
    </row>
    <row r="70" spans="1:12" ht="17" x14ac:dyDescent="0.2">
      <c r="A70" s="24">
        <v>69</v>
      </c>
      <c r="B70" s="3">
        <v>45961</v>
      </c>
      <c r="C70" s="4" t="s">
        <v>191</v>
      </c>
      <c r="D70" s="4" t="s">
        <v>192</v>
      </c>
      <c r="E70" s="4" t="s">
        <v>16</v>
      </c>
      <c r="F70" s="4" t="s">
        <v>171</v>
      </c>
      <c r="G70" s="6">
        <v>6</v>
      </c>
      <c r="H70" s="1"/>
      <c r="I70" s="5">
        <f>G70/2</f>
        <v>3</v>
      </c>
      <c r="K70" s="7"/>
    </row>
    <row r="71" spans="1:12" ht="17" x14ac:dyDescent="0.2">
      <c r="A71" s="24">
        <v>70</v>
      </c>
      <c r="B71" s="3">
        <v>45961</v>
      </c>
      <c r="C71" s="4" t="s">
        <v>193</v>
      </c>
      <c r="D71" s="4" t="s">
        <v>192</v>
      </c>
      <c r="E71" s="4" t="s">
        <v>96</v>
      </c>
      <c r="F71" s="4" t="s">
        <v>171</v>
      </c>
      <c r="G71" s="6">
        <v>11</v>
      </c>
      <c r="H71" s="1"/>
      <c r="I71" s="5">
        <f>G71/4</f>
        <v>2.75</v>
      </c>
      <c r="K71" s="7"/>
    </row>
    <row r="72" spans="1:12" ht="17" x14ac:dyDescent="0.2">
      <c r="A72" s="24">
        <v>71</v>
      </c>
      <c r="B72" s="3">
        <v>45961</v>
      </c>
      <c r="C72" s="4" t="s">
        <v>157</v>
      </c>
      <c r="D72" s="4" t="s">
        <v>192</v>
      </c>
      <c r="E72" s="4" t="s">
        <v>16</v>
      </c>
      <c r="F72" s="4" t="s">
        <v>171</v>
      </c>
      <c r="G72" s="6">
        <f>2.9*3</f>
        <v>8.6999999999999993</v>
      </c>
      <c r="H72" s="1"/>
      <c r="I72" s="5">
        <f>G72/3</f>
        <v>2.9</v>
      </c>
      <c r="K72" s="7"/>
    </row>
    <row r="73" spans="1:12" ht="17" x14ac:dyDescent="0.2">
      <c r="A73" s="24">
        <v>72</v>
      </c>
      <c r="B73" s="3">
        <v>45961</v>
      </c>
      <c r="C73" s="4" t="s">
        <v>194</v>
      </c>
      <c r="D73" s="4" t="s">
        <v>121</v>
      </c>
      <c r="E73" s="4" t="s">
        <v>96</v>
      </c>
      <c r="F73" s="4" t="s">
        <v>171</v>
      </c>
      <c r="G73" s="6">
        <v>9.36</v>
      </c>
      <c r="H73" s="1"/>
      <c r="I73" s="5">
        <f>G73/2</f>
        <v>4.68</v>
      </c>
      <c r="K73" s="7"/>
    </row>
    <row r="74" spans="1:12" ht="34" x14ac:dyDescent="0.2">
      <c r="A74" s="24">
        <v>73</v>
      </c>
      <c r="B74" s="3">
        <v>45961</v>
      </c>
      <c r="C74" s="4" t="s">
        <v>66</v>
      </c>
      <c r="D74" s="4" t="s">
        <v>156</v>
      </c>
      <c r="E74" s="4" t="s">
        <v>16</v>
      </c>
      <c r="F74" s="4" t="s">
        <v>52</v>
      </c>
      <c r="G74" s="6">
        <v>30.6</v>
      </c>
      <c r="H74" s="1"/>
      <c r="I74" s="5">
        <f>G74/4</f>
        <v>7.65</v>
      </c>
      <c r="K74" s="7"/>
    </row>
    <row r="75" spans="1:12" x14ac:dyDescent="0.2">
      <c r="A75" s="2"/>
      <c r="B75" s="3"/>
      <c r="C75" s="4"/>
      <c r="D75" s="4"/>
      <c r="E75" s="4"/>
      <c r="F75" s="4"/>
      <c r="G75" s="6"/>
      <c r="H75" s="1"/>
      <c r="I75" s="5"/>
      <c r="K75" s="7"/>
    </row>
    <row r="76" spans="1:12" x14ac:dyDescent="0.2">
      <c r="L76" s="7"/>
    </row>
    <row r="77" spans="1:12" ht="19" x14ac:dyDescent="0.25">
      <c r="G77" s="11">
        <f>SUM(G2:G76)</f>
        <v>6043.8499999999985</v>
      </c>
      <c r="H77" s="10" t="s">
        <v>5</v>
      </c>
      <c r="I77" s="11">
        <f>SUM(I2:I76)</f>
        <v>1778.5125</v>
      </c>
      <c r="L77" s="7"/>
    </row>
    <row r="78" spans="1:12" x14ac:dyDescent="0.2">
      <c r="L78" s="7"/>
    </row>
    <row r="79" spans="1:12" x14ac:dyDescent="0.2">
      <c r="C79" s="25" t="s">
        <v>35</v>
      </c>
      <c r="D79" s="5">
        <f t="shared" ref="D79:D85" si="4">SUMIF(E:E,C79,I:I)</f>
        <v>1128.125</v>
      </c>
    </row>
    <row r="80" spans="1:12" x14ac:dyDescent="0.2">
      <c r="C80" s="25" t="s">
        <v>16</v>
      </c>
      <c r="D80" s="5">
        <f t="shared" si="4"/>
        <v>151.34916666666669</v>
      </c>
    </row>
    <row r="81" spans="3:6" x14ac:dyDescent="0.2">
      <c r="C81" s="25" t="s">
        <v>20</v>
      </c>
      <c r="D81" s="5">
        <f t="shared" si="4"/>
        <v>32.03</v>
      </c>
    </row>
    <row r="82" spans="3:6" x14ac:dyDescent="0.2">
      <c r="C82" s="25" t="s">
        <v>22</v>
      </c>
      <c r="D82" s="5">
        <f t="shared" si="4"/>
        <v>139.11000000000001</v>
      </c>
      <c r="F82" s="7"/>
    </row>
    <row r="83" spans="3:6" x14ac:dyDescent="0.2">
      <c r="C83" s="25" t="s">
        <v>11</v>
      </c>
      <c r="D83" s="18">
        <f t="shared" si="4"/>
        <v>154.33499999999998</v>
      </c>
    </row>
    <row r="84" spans="3:6" x14ac:dyDescent="0.2">
      <c r="C84" s="25" t="s">
        <v>71</v>
      </c>
      <c r="D84" s="18">
        <f t="shared" si="4"/>
        <v>0</v>
      </c>
    </row>
    <row r="85" spans="3:6" x14ac:dyDescent="0.2">
      <c r="C85" s="25" t="s">
        <v>96</v>
      </c>
      <c r="D85" s="18">
        <f t="shared" si="4"/>
        <v>173.56333333333333</v>
      </c>
    </row>
    <row r="87" spans="3:6" x14ac:dyDescent="0.2">
      <c r="C87" s="16" t="s">
        <v>42</v>
      </c>
      <c r="D87" s="7">
        <f>I77-SUM(D79:D85)</f>
        <v>0</v>
      </c>
    </row>
    <row r="88" spans="3:6" x14ac:dyDescent="0.2">
      <c r="C88" s="7"/>
    </row>
    <row r="89" spans="3:6" x14ac:dyDescent="0.2">
      <c r="C89" s="7"/>
    </row>
    <row r="90" spans="3:6" x14ac:dyDescent="0.2">
      <c r="C90" s="25" t="s">
        <v>39</v>
      </c>
      <c r="D90" s="5">
        <f t="shared" ref="D90:D98" si="5">SUMIF(F:F,C90,I:I)</f>
        <v>0</v>
      </c>
    </row>
    <row r="91" spans="3:6" ht="17" x14ac:dyDescent="0.2">
      <c r="C91" s="26" t="s">
        <v>41</v>
      </c>
      <c r="D91" s="5">
        <f t="shared" si="5"/>
        <v>0</v>
      </c>
    </row>
    <row r="92" spans="3:6" ht="17" x14ac:dyDescent="0.2">
      <c r="C92" s="26" t="s">
        <v>36</v>
      </c>
      <c r="D92" s="5">
        <f t="shared" si="5"/>
        <v>0</v>
      </c>
    </row>
    <row r="93" spans="3:6" ht="17" x14ac:dyDescent="0.2">
      <c r="C93" s="26" t="s">
        <v>38</v>
      </c>
      <c r="D93" s="5">
        <f t="shared" si="5"/>
        <v>167.1</v>
      </c>
    </row>
    <row r="94" spans="3:6" ht="17" x14ac:dyDescent="0.2">
      <c r="C94" s="26" t="s">
        <v>73</v>
      </c>
      <c r="D94" s="5">
        <f t="shared" si="5"/>
        <v>1297.9374999999998</v>
      </c>
    </row>
    <row r="95" spans="3:6" ht="17" x14ac:dyDescent="0.2">
      <c r="C95" s="26" t="s">
        <v>40</v>
      </c>
      <c r="D95" s="5">
        <f t="shared" si="5"/>
        <v>87.524999999999991</v>
      </c>
    </row>
    <row r="96" spans="3:6" ht="17" x14ac:dyDescent="0.2">
      <c r="C96" s="26" t="s">
        <v>52</v>
      </c>
      <c r="D96" s="5">
        <f t="shared" si="5"/>
        <v>164.66</v>
      </c>
    </row>
    <row r="97" spans="3:4" ht="17" x14ac:dyDescent="0.2">
      <c r="C97" s="26" t="s">
        <v>171</v>
      </c>
      <c r="D97" s="5">
        <f t="shared" si="5"/>
        <v>50.290000000000006</v>
      </c>
    </row>
    <row r="98" spans="3:4" ht="17" x14ac:dyDescent="0.2">
      <c r="C98" s="26" t="s">
        <v>61</v>
      </c>
      <c r="D98" s="5">
        <f t="shared" si="5"/>
        <v>11</v>
      </c>
    </row>
    <row r="100" spans="3:4" x14ac:dyDescent="0.2">
      <c r="C100" s="19" t="s">
        <v>42</v>
      </c>
      <c r="D100" s="20">
        <f>I77-SUM(D90:D98)</f>
        <v>0</v>
      </c>
    </row>
    <row r="101" spans="3:4" x14ac:dyDescent="0.2">
      <c r="C101" s="7"/>
    </row>
    <row r="102" spans="3:4" x14ac:dyDescent="0.2">
      <c r="C10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4E88-3956-8B4D-9C8A-E2194181A0BA}">
  <dimension ref="A1:L69"/>
  <sheetViews>
    <sheetView zoomScale="120" zoomScaleNormal="120" workbookViewId="0">
      <pane ySplit="1" topLeftCell="A36" activePane="bottomLeft" state="frozen"/>
      <selection pane="bottomLeft"/>
    </sheetView>
  </sheetViews>
  <sheetFormatPr baseColWidth="10" defaultRowHeight="16" x14ac:dyDescent="0.2"/>
  <cols>
    <col min="1" max="1" width="6.5" bestFit="1" customWidth="1"/>
    <col min="2" max="2" width="9.6640625" style="2" customWidth="1"/>
    <col min="3" max="3" width="23.5" customWidth="1"/>
    <col min="4" max="4" width="22" customWidth="1"/>
    <col min="5" max="5" width="12.6640625" customWidth="1"/>
    <col min="6" max="6" width="21.1640625" bestFit="1" customWidth="1"/>
    <col min="7" max="7" width="13.5" customWidth="1"/>
    <col min="8" max="8" width="10.6640625" bestFit="1" customWidth="1"/>
    <col min="9" max="9" width="14.6640625" customWidth="1"/>
    <col min="12" max="12" width="14.83203125" bestFit="1" customWidth="1"/>
  </cols>
  <sheetData>
    <row r="1" spans="1:9" ht="17" x14ac:dyDescent="0.2">
      <c r="A1" s="12" t="s">
        <v>0</v>
      </c>
      <c r="B1" s="13" t="s">
        <v>1</v>
      </c>
      <c r="C1" s="13" t="s">
        <v>13</v>
      </c>
      <c r="D1" s="13" t="s">
        <v>2</v>
      </c>
      <c r="E1" s="13" t="s">
        <v>12</v>
      </c>
      <c r="F1" s="13" t="s">
        <v>23</v>
      </c>
      <c r="G1" s="13" t="s">
        <v>3</v>
      </c>
      <c r="I1" s="13" t="s">
        <v>4</v>
      </c>
    </row>
    <row r="2" spans="1:9" ht="17" x14ac:dyDescent="0.2">
      <c r="A2" s="24">
        <v>1</v>
      </c>
      <c r="B2" s="23">
        <v>45902</v>
      </c>
      <c r="C2" s="4" t="s">
        <v>62</v>
      </c>
      <c r="D2" s="4" t="s">
        <v>63</v>
      </c>
      <c r="E2" s="4" t="s">
        <v>11</v>
      </c>
      <c r="F2" s="4" t="s">
        <v>52</v>
      </c>
      <c r="G2" s="6">
        <v>2.56</v>
      </c>
      <c r="H2" s="1"/>
      <c r="I2" s="5">
        <f>G2/2</f>
        <v>1.28</v>
      </c>
    </row>
    <row r="3" spans="1:9" ht="17" x14ac:dyDescent="0.2">
      <c r="A3" s="24">
        <v>2</v>
      </c>
      <c r="B3" s="23">
        <v>45903</v>
      </c>
      <c r="C3" s="4" t="s">
        <v>64</v>
      </c>
      <c r="D3" s="4" t="s">
        <v>65</v>
      </c>
      <c r="E3" s="4" t="s">
        <v>96</v>
      </c>
      <c r="F3" s="4" t="s">
        <v>52</v>
      </c>
      <c r="G3" s="6">
        <v>9.7799999999999994</v>
      </c>
      <c r="H3" s="1"/>
      <c r="I3" s="5">
        <f>G3</f>
        <v>9.7799999999999994</v>
      </c>
    </row>
    <row r="4" spans="1:9" ht="17" x14ac:dyDescent="0.2">
      <c r="A4" s="24">
        <v>4</v>
      </c>
      <c r="B4" s="23">
        <v>45903</v>
      </c>
      <c r="C4" s="4" t="s">
        <v>25</v>
      </c>
      <c r="D4" s="4" t="s">
        <v>20</v>
      </c>
      <c r="E4" s="4" t="s">
        <v>20</v>
      </c>
      <c r="F4" s="4" t="s">
        <v>52</v>
      </c>
      <c r="G4" s="6">
        <v>41.28</v>
      </c>
      <c r="H4" s="1"/>
      <c r="I4" s="5">
        <v>24.38</v>
      </c>
    </row>
    <row r="5" spans="1:9" ht="17" x14ac:dyDescent="0.2">
      <c r="A5" s="2">
        <v>5</v>
      </c>
      <c r="B5" s="23">
        <v>45904</v>
      </c>
      <c r="C5" s="4" t="s">
        <v>56</v>
      </c>
      <c r="D5" s="4" t="s">
        <v>57</v>
      </c>
      <c r="E5" s="4" t="s">
        <v>16</v>
      </c>
      <c r="F5" s="4" t="s">
        <v>38</v>
      </c>
      <c r="G5" s="6">
        <v>3</v>
      </c>
      <c r="H5" s="1"/>
      <c r="I5" s="5">
        <v>3</v>
      </c>
    </row>
    <row r="6" spans="1:9" ht="17" x14ac:dyDescent="0.2">
      <c r="A6" s="2">
        <v>6</v>
      </c>
      <c r="B6" s="23">
        <v>45904</v>
      </c>
      <c r="C6" s="4" t="s">
        <v>56</v>
      </c>
      <c r="D6" s="4" t="s">
        <v>58</v>
      </c>
      <c r="E6" s="4" t="s">
        <v>16</v>
      </c>
      <c r="F6" s="4" t="s">
        <v>38</v>
      </c>
      <c r="G6" s="6">
        <v>3</v>
      </c>
      <c r="H6" s="1"/>
      <c r="I6" s="5">
        <v>3</v>
      </c>
    </row>
    <row r="7" spans="1:9" ht="34" x14ac:dyDescent="0.2">
      <c r="A7" s="2">
        <v>7</v>
      </c>
      <c r="B7" s="23">
        <v>45904</v>
      </c>
      <c r="C7" s="4" t="s">
        <v>59</v>
      </c>
      <c r="D7" s="4" t="s">
        <v>60</v>
      </c>
      <c r="E7" s="4" t="s">
        <v>16</v>
      </c>
      <c r="F7" s="4" t="s">
        <v>61</v>
      </c>
      <c r="G7" s="6">
        <v>5</v>
      </c>
      <c r="H7" s="1"/>
      <c r="I7" s="5">
        <v>5</v>
      </c>
    </row>
    <row r="8" spans="1:9" ht="17" x14ac:dyDescent="0.2">
      <c r="A8" s="2">
        <v>8</v>
      </c>
      <c r="B8" s="23">
        <v>45904</v>
      </c>
      <c r="C8" s="4" t="s">
        <v>66</v>
      </c>
      <c r="D8" s="4" t="s">
        <v>67</v>
      </c>
      <c r="E8" s="4" t="s">
        <v>16</v>
      </c>
      <c r="F8" s="4" t="s">
        <v>52</v>
      </c>
      <c r="G8" s="6">
        <v>5.9</v>
      </c>
      <c r="H8" s="1"/>
      <c r="I8" s="5">
        <f>G8</f>
        <v>5.9</v>
      </c>
    </row>
    <row r="9" spans="1:9" ht="17" x14ac:dyDescent="0.2">
      <c r="A9" s="2">
        <v>9</v>
      </c>
      <c r="B9" s="23">
        <v>45904</v>
      </c>
      <c r="C9" s="4" t="s">
        <v>66</v>
      </c>
      <c r="D9" s="4" t="s">
        <v>68</v>
      </c>
      <c r="E9" s="4" t="s">
        <v>16</v>
      </c>
      <c r="F9" s="4" t="s">
        <v>52</v>
      </c>
      <c r="G9" s="6">
        <v>5.9</v>
      </c>
      <c r="H9" s="1"/>
      <c r="I9" s="5">
        <f>G9</f>
        <v>5.9</v>
      </c>
    </row>
    <row r="10" spans="1:9" ht="34" x14ac:dyDescent="0.2">
      <c r="A10" s="2">
        <v>10</v>
      </c>
      <c r="B10" s="23">
        <v>45906</v>
      </c>
      <c r="C10" s="4" t="s">
        <v>69</v>
      </c>
      <c r="D10" s="4" t="s">
        <v>70</v>
      </c>
      <c r="E10" s="4" t="s">
        <v>71</v>
      </c>
      <c r="F10" s="4" t="s">
        <v>52</v>
      </c>
      <c r="G10" s="6">
        <v>20</v>
      </c>
      <c r="H10" s="1"/>
      <c r="I10" s="5">
        <f>G10</f>
        <v>20</v>
      </c>
    </row>
    <row r="11" spans="1:9" ht="34" x14ac:dyDescent="0.2">
      <c r="A11" s="2">
        <v>11</v>
      </c>
      <c r="B11" s="23">
        <v>45906</v>
      </c>
      <c r="C11" s="4" t="s">
        <v>69</v>
      </c>
      <c r="D11" s="4" t="s">
        <v>72</v>
      </c>
      <c r="E11" s="4" t="s">
        <v>96</v>
      </c>
      <c r="F11" s="4" t="s">
        <v>73</v>
      </c>
      <c r="G11" s="6">
        <f>20.83</f>
        <v>20.83</v>
      </c>
      <c r="H11" s="1"/>
      <c r="I11" s="5">
        <f>5.2</f>
        <v>5.2</v>
      </c>
    </row>
    <row r="12" spans="1:9" ht="17" x14ac:dyDescent="0.2">
      <c r="A12" s="2">
        <v>12</v>
      </c>
      <c r="B12" s="23">
        <v>45907</v>
      </c>
      <c r="C12" s="4" t="s">
        <v>34</v>
      </c>
      <c r="D12" s="4" t="s">
        <v>74</v>
      </c>
      <c r="E12" s="4" t="s">
        <v>35</v>
      </c>
      <c r="F12" s="4" t="s">
        <v>61</v>
      </c>
      <c r="G12" s="6">
        <v>500</v>
      </c>
      <c r="H12" s="1"/>
      <c r="I12" s="5">
        <f>G12</f>
        <v>500</v>
      </c>
    </row>
    <row r="13" spans="1:9" ht="34" x14ac:dyDescent="0.2">
      <c r="A13" s="2">
        <v>13</v>
      </c>
      <c r="B13" s="23">
        <v>45907</v>
      </c>
      <c r="C13" s="4" t="s">
        <v>75</v>
      </c>
      <c r="D13" s="4" t="s">
        <v>76</v>
      </c>
      <c r="E13" s="4" t="s">
        <v>11</v>
      </c>
      <c r="F13" s="4" t="s">
        <v>40</v>
      </c>
      <c r="G13" s="6">
        <v>41.99</v>
      </c>
      <c r="H13" s="1"/>
      <c r="I13" s="5">
        <f>G13/4</f>
        <v>10.4975</v>
      </c>
    </row>
    <row r="14" spans="1:9" ht="17" x14ac:dyDescent="0.2">
      <c r="A14" s="2">
        <v>15</v>
      </c>
      <c r="B14" s="23">
        <v>45909</v>
      </c>
      <c r="C14" s="4" t="s">
        <v>79</v>
      </c>
      <c r="D14" s="4" t="s">
        <v>80</v>
      </c>
      <c r="E14" s="4" t="s">
        <v>96</v>
      </c>
      <c r="F14" s="4" t="s">
        <v>52</v>
      </c>
      <c r="G14" s="6">
        <v>14</v>
      </c>
      <c r="H14" s="1"/>
      <c r="I14" s="5">
        <f>G14</f>
        <v>14</v>
      </c>
    </row>
    <row r="15" spans="1:9" ht="17" x14ac:dyDescent="0.2">
      <c r="A15" s="2">
        <v>16</v>
      </c>
      <c r="B15" s="23">
        <v>45909</v>
      </c>
      <c r="C15" s="4" t="s">
        <v>19</v>
      </c>
      <c r="D15" s="4" t="s">
        <v>77</v>
      </c>
      <c r="E15" s="4" t="s">
        <v>20</v>
      </c>
      <c r="F15" s="4" t="s">
        <v>52</v>
      </c>
      <c r="G15" s="6">
        <v>5.15</v>
      </c>
      <c r="H15" s="1"/>
      <c r="I15" s="5">
        <f>G15/3</f>
        <v>1.7166666666666668</v>
      </c>
    </row>
    <row r="16" spans="1:9" ht="17" x14ac:dyDescent="0.2">
      <c r="A16" s="2">
        <v>17</v>
      </c>
      <c r="B16" s="23">
        <v>45910</v>
      </c>
      <c r="C16" s="4" t="s">
        <v>25</v>
      </c>
      <c r="D16" s="4" t="s">
        <v>78</v>
      </c>
      <c r="E16" s="4" t="s">
        <v>20</v>
      </c>
      <c r="F16" s="4" t="s">
        <v>73</v>
      </c>
      <c r="G16" s="6">
        <v>49.55</v>
      </c>
      <c r="H16" s="1"/>
      <c r="I16" s="5">
        <f>G16/3</f>
        <v>16.516666666666666</v>
      </c>
    </row>
    <row r="17" spans="1:9" ht="17" x14ac:dyDescent="0.2">
      <c r="A17" s="2">
        <v>18</v>
      </c>
      <c r="B17" s="23">
        <v>45913</v>
      </c>
      <c r="C17" s="4" t="s">
        <v>19</v>
      </c>
      <c r="D17" s="4" t="s">
        <v>83</v>
      </c>
      <c r="E17" s="4" t="s">
        <v>96</v>
      </c>
      <c r="F17" s="4" t="s">
        <v>40</v>
      </c>
      <c r="G17" s="6">
        <v>7.71</v>
      </c>
      <c r="H17" s="1"/>
      <c r="I17" s="5">
        <f>G17/3</f>
        <v>2.57</v>
      </c>
    </row>
    <row r="18" spans="1:9" ht="34" x14ac:dyDescent="0.2">
      <c r="A18" s="2">
        <v>19</v>
      </c>
      <c r="B18" s="23">
        <v>45914</v>
      </c>
      <c r="C18" s="4" t="s">
        <v>28</v>
      </c>
      <c r="D18" s="4" t="s">
        <v>88</v>
      </c>
      <c r="E18" s="4" t="s">
        <v>16</v>
      </c>
      <c r="F18" s="4" t="s">
        <v>52</v>
      </c>
      <c r="G18" s="6">
        <v>26.44</v>
      </c>
      <c r="H18" s="1"/>
      <c r="I18" s="5">
        <f>G18</f>
        <v>26.44</v>
      </c>
    </row>
    <row r="19" spans="1:9" ht="17" x14ac:dyDescent="0.2">
      <c r="A19" s="2">
        <v>20</v>
      </c>
      <c r="B19" s="23">
        <v>45914</v>
      </c>
      <c r="C19" s="4" t="s">
        <v>81</v>
      </c>
      <c r="D19" s="4" t="s">
        <v>82</v>
      </c>
      <c r="E19" s="4" t="s">
        <v>96</v>
      </c>
      <c r="F19" s="4" t="s">
        <v>38</v>
      </c>
      <c r="G19" s="6">
        <v>17.88</v>
      </c>
      <c r="H19" s="1"/>
      <c r="I19" s="5">
        <f>G19/2</f>
        <v>8.94</v>
      </c>
    </row>
    <row r="20" spans="1:9" ht="17" x14ac:dyDescent="0.2">
      <c r="A20" s="2">
        <v>21</v>
      </c>
      <c r="B20" s="23">
        <v>45916</v>
      </c>
      <c r="C20" s="4" t="s">
        <v>25</v>
      </c>
      <c r="D20" s="4" t="s">
        <v>78</v>
      </c>
      <c r="E20" s="4" t="s">
        <v>20</v>
      </c>
      <c r="F20" s="4" t="s">
        <v>40</v>
      </c>
      <c r="G20" s="6">
        <v>10.11</v>
      </c>
      <c r="H20" s="1"/>
      <c r="I20" s="5">
        <f>G20/3</f>
        <v>3.3699999999999997</v>
      </c>
    </row>
    <row r="21" spans="1:9" ht="17" x14ac:dyDescent="0.2">
      <c r="A21" s="2">
        <v>22</v>
      </c>
      <c r="B21" s="23">
        <v>45917</v>
      </c>
      <c r="C21" s="4" t="s">
        <v>86</v>
      </c>
      <c r="D21" s="4" t="s">
        <v>87</v>
      </c>
      <c r="E21" s="4" t="s">
        <v>96</v>
      </c>
      <c r="F21" s="4" t="s">
        <v>52</v>
      </c>
      <c r="G21" s="6">
        <v>3.36</v>
      </c>
      <c r="H21" s="1"/>
      <c r="I21" s="5">
        <f>G21</f>
        <v>3.36</v>
      </c>
    </row>
    <row r="22" spans="1:9" ht="17" x14ac:dyDescent="0.2">
      <c r="A22" s="2">
        <v>23</v>
      </c>
      <c r="B22" s="23">
        <v>45918</v>
      </c>
      <c r="C22" s="4" t="s">
        <v>84</v>
      </c>
      <c r="D22" s="4" t="s">
        <v>77</v>
      </c>
      <c r="E22" s="4" t="s">
        <v>20</v>
      </c>
      <c r="F22" s="4" t="s">
        <v>52</v>
      </c>
      <c r="G22" s="6">
        <v>10.56</v>
      </c>
      <c r="H22" s="1"/>
      <c r="I22" s="5">
        <f>G22-6.32+2.11</f>
        <v>6.35</v>
      </c>
    </row>
    <row r="23" spans="1:9" ht="17" x14ac:dyDescent="0.2">
      <c r="A23" s="2">
        <v>24</v>
      </c>
      <c r="B23" s="23">
        <v>45919</v>
      </c>
      <c r="C23" s="4" t="s">
        <v>25</v>
      </c>
      <c r="D23" s="4" t="s">
        <v>78</v>
      </c>
      <c r="E23" s="4" t="s">
        <v>20</v>
      </c>
      <c r="F23" s="4" t="s">
        <v>40</v>
      </c>
      <c r="G23" s="6">
        <v>36.07</v>
      </c>
      <c r="H23" s="1"/>
      <c r="I23" s="5">
        <f>G23/3</f>
        <v>12.023333333333333</v>
      </c>
    </row>
    <row r="24" spans="1:9" ht="17" x14ac:dyDescent="0.2">
      <c r="A24" s="2">
        <v>25</v>
      </c>
      <c r="B24" s="23">
        <v>45919</v>
      </c>
      <c r="C24" s="4" t="s">
        <v>19</v>
      </c>
      <c r="D24" s="4" t="s">
        <v>85</v>
      </c>
      <c r="E24" s="4" t="s">
        <v>11</v>
      </c>
      <c r="F24" s="4" t="s">
        <v>52</v>
      </c>
      <c r="G24" s="6">
        <v>1.84</v>
      </c>
      <c r="H24" s="1"/>
      <c r="I24" s="5">
        <f>G24/3</f>
        <v>0.6133333333333334</v>
      </c>
    </row>
    <row r="25" spans="1:9" ht="17" x14ac:dyDescent="0.2">
      <c r="A25" s="2">
        <v>26</v>
      </c>
      <c r="B25" s="23">
        <v>45920</v>
      </c>
      <c r="C25" s="4" t="s">
        <v>10</v>
      </c>
      <c r="D25" s="4" t="s">
        <v>77</v>
      </c>
      <c r="E25" s="4" t="s">
        <v>20</v>
      </c>
      <c r="F25" s="4" t="s">
        <v>73</v>
      </c>
      <c r="G25" s="6">
        <v>4.1900000000000004</v>
      </c>
      <c r="H25" s="1"/>
      <c r="I25" s="5">
        <v>2.1</v>
      </c>
    </row>
    <row r="26" spans="1:9" ht="17" x14ac:dyDescent="0.2">
      <c r="A26" s="2">
        <v>27</v>
      </c>
      <c r="B26" s="23">
        <v>45920</v>
      </c>
      <c r="C26" s="4" t="s">
        <v>93</v>
      </c>
      <c r="D26" s="4" t="s">
        <v>94</v>
      </c>
      <c r="E26" s="4" t="s">
        <v>20</v>
      </c>
      <c r="F26" s="4" t="s">
        <v>73</v>
      </c>
      <c r="G26" s="6">
        <v>4.99</v>
      </c>
      <c r="H26" s="1"/>
      <c r="I26" s="5">
        <f>G26</f>
        <v>4.99</v>
      </c>
    </row>
    <row r="27" spans="1:9" ht="17" x14ac:dyDescent="0.2">
      <c r="A27" s="2">
        <v>28</v>
      </c>
      <c r="B27" s="23">
        <v>45920</v>
      </c>
      <c r="C27" s="4" t="s">
        <v>25</v>
      </c>
      <c r="D27" s="4" t="s">
        <v>95</v>
      </c>
      <c r="E27" s="4" t="s">
        <v>20</v>
      </c>
      <c r="F27" s="4" t="s">
        <v>73</v>
      </c>
      <c r="G27" s="6">
        <v>9.8699999999999992</v>
      </c>
      <c r="H27" s="1"/>
      <c r="I27" s="5">
        <f>G27/3</f>
        <v>3.2899999999999996</v>
      </c>
    </row>
    <row r="28" spans="1:9" ht="17" x14ac:dyDescent="0.2">
      <c r="A28" s="2">
        <v>29</v>
      </c>
      <c r="B28" s="23">
        <v>45923</v>
      </c>
      <c r="C28" s="4" t="s">
        <v>89</v>
      </c>
      <c r="D28" s="4" t="s">
        <v>90</v>
      </c>
      <c r="E28" s="4" t="s">
        <v>96</v>
      </c>
      <c r="F28" s="4" t="s">
        <v>52</v>
      </c>
      <c r="G28" s="6">
        <v>4.68</v>
      </c>
      <c r="H28" s="1"/>
      <c r="I28" s="5">
        <f>G28</f>
        <v>4.68</v>
      </c>
    </row>
    <row r="29" spans="1:9" ht="17" x14ac:dyDescent="0.2">
      <c r="A29" s="2">
        <v>30</v>
      </c>
      <c r="B29" s="23">
        <v>45923</v>
      </c>
      <c r="C29" s="4" t="s">
        <v>25</v>
      </c>
      <c r="D29" s="4" t="s">
        <v>20</v>
      </c>
      <c r="E29" s="4" t="s">
        <v>20</v>
      </c>
      <c r="F29" s="4" t="s">
        <v>52</v>
      </c>
      <c r="G29" s="6">
        <v>13.32</v>
      </c>
      <c r="H29" s="1"/>
      <c r="I29" s="5">
        <f>G29/3</f>
        <v>4.4400000000000004</v>
      </c>
    </row>
    <row r="30" spans="1:9" ht="17" x14ac:dyDescent="0.2">
      <c r="A30" s="2">
        <v>31</v>
      </c>
      <c r="B30" s="23">
        <v>45923</v>
      </c>
      <c r="C30" s="4" t="s">
        <v>91</v>
      </c>
      <c r="D30" s="4" t="s">
        <v>92</v>
      </c>
      <c r="E30" s="4" t="s">
        <v>20</v>
      </c>
      <c r="F30" s="4" t="s">
        <v>73</v>
      </c>
      <c r="G30" s="6">
        <v>120</v>
      </c>
      <c r="H30" s="1"/>
      <c r="I30" s="5">
        <v>20</v>
      </c>
    </row>
    <row r="31" spans="1:9" ht="17" x14ac:dyDescent="0.2">
      <c r="A31" s="2">
        <v>32</v>
      </c>
      <c r="B31" s="23">
        <v>45926</v>
      </c>
      <c r="C31" s="4" t="s">
        <v>98</v>
      </c>
      <c r="D31" s="4" t="s">
        <v>99</v>
      </c>
      <c r="E31" s="4" t="s">
        <v>96</v>
      </c>
      <c r="F31" s="4" t="s">
        <v>52</v>
      </c>
      <c r="G31" s="6">
        <v>105.88</v>
      </c>
      <c r="H31" s="1"/>
      <c r="I31" s="5">
        <f>(G31/8)+(G31/16)</f>
        <v>19.852499999999999</v>
      </c>
    </row>
    <row r="32" spans="1:9" ht="17" x14ac:dyDescent="0.2">
      <c r="A32" s="2">
        <v>33</v>
      </c>
      <c r="B32" s="23">
        <v>45926</v>
      </c>
      <c r="C32" s="4" t="s">
        <v>19</v>
      </c>
      <c r="D32" s="4" t="s">
        <v>99</v>
      </c>
      <c r="E32" s="4" t="s">
        <v>96</v>
      </c>
      <c r="F32" s="4" t="s">
        <v>40</v>
      </c>
      <c r="G32" s="6">
        <v>7.68</v>
      </c>
      <c r="H32" s="1"/>
      <c r="I32" s="5">
        <f>G32/2</f>
        <v>3.84</v>
      </c>
    </row>
    <row r="33" spans="1:12" ht="17" x14ac:dyDescent="0.2">
      <c r="A33" s="2">
        <v>34</v>
      </c>
      <c r="B33" s="23">
        <v>45927</v>
      </c>
      <c r="C33" s="4" t="s">
        <v>54</v>
      </c>
      <c r="D33" s="4" t="s">
        <v>115</v>
      </c>
      <c r="E33" s="4" t="s">
        <v>11</v>
      </c>
      <c r="F33" s="4" t="s">
        <v>73</v>
      </c>
      <c r="G33" s="6">
        <v>20</v>
      </c>
      <c r="H33" s="1"/>
      <c r="I33" s="5">
        <f>G33/4</f>
        <v>5</v>
      </c>
    </row>
    <row r="34" spans="1:12" ht="17" x14ac:dyDescent="0.2">
      <c r="A34" s="2">
        <v>35</v>
      </c>
      <c r="B34" s="23">
        <v>45929</v>
      </c>
      <c r="C34" s="4" t="s">
        <v>100</v>
      </c>
      <c r="D34" s="4" t="s">
        <v>101</v>
      </c>
      <c r="E34" s="4" t="s">
        <v>96</v>
      </c>
      <c r="F34" s="4" t="s">
        <v>52</v>
      </c>
      <c r="G34" s="6">
        <v>7.45</v>
      </c>
      <c r="H34" s="1"/>
      <c r="I34" s="5">
        <f t="shared" ref="I34:I40" si="0">G34</f>
        <v>7.45</v>
      </c>
    </row>
    <row r="35" spans="1:12" ht="17" x14ac:dyDescent="0.2">
      <c r="A35" s="2">
        <v>36</v>
      </c>
      <c r="B35" s="23">
        <v>45930</v>
      </c>
      <c r="C35" s="4" t="s">
        <v>56</v>
      </c>
      <c r="D35" s="4" t="s">
        <v>57</v>
      </c>
      <c r="E35" s="4" t="s">
        <v>16</v>
      </c>
      <c r="F35" s="4" t="s">
        <v>38</v>
      </c>
      <c r="G35" s="6">
        <v>3</v>
      </c>
      <c r="H35" s="1"/>
      <c r="I35" s="5">
        <f t="shared" si="0"/>
        <v>3</v>
      </c>
    </row>
    <row r="36" spans="1:12" ht="17" x14ac:dyDescent="0.2">
      <c r="A36" s="2">
        <v>37</v>
      </c>
      <c r="B36" s="23">
        <v>45930</v>
      </c>
      <c r="C36" s="4" t="s">
        <v>108</v>
      </c>
      <c r="D36" s="4" t="s">
        <v>109</v>
      </c>
      <c r="E36" s="4" t="s">
        <v>16</v>
      </c>
      <c r="F36" s="4" t="s">
        <v>38</v>
      </c>
      <c r="G36" s="6">
        <v>7.5</v>
      </c>
      <c r="H36" s="1"/>
      <c r="I36" s="5">
        <f t="shared" si="0"/>
        <v>7.5</v>
      </c>
    </row>
    <row r="37" spans="1:12" ht="17" x14ac:dyDescent="0.2">
      <c r="A37" s="2">
        <v>38</v>
      </c>
      <c r="B37" s="23">
        <v>45930</v>
      </c>
      <c r="C37" s="4" t="s">
        <v>56</v>
      </c>
      <c r="D37" s="4" t="s">
        <v>102</v>
      </c>
      <c r="E37" s="4" t="s">
        <v>16</v>
      </c>
      <c r="F37" s="4" t="s">
        <v>38</v>
      </c>
      <c r="G37" s="6">
        <v>3</v>
      </c>
      <c r="H37" s="1"/>
      <c r="I37" s="5">
        <f t="shared" si="0"/>
        <v>3</v>
      </c>
    </row>
    <row r="38" spans="1:12" ht="17" x14ac:dyDescent="0.2">
      <c r="A38" s="2">
        <v>39</v>
      </c>
      <c r="B38" s="23">
        <v>45930</v>
      </c>
      <c r="C38" s="4" t="s">
        <v>103</v>
      </c>
      <c r="D38" s="4" t="s">
        <v>104</v>
      </c>
      <c r="E38" s="4" t="s">
        <v>16</v>
      </c>
      <c r="F38" s="4" t="s">
        <v>52</v>
      </c>
      <c r="G38" s="6">
        <v>2.9</v>
      </c>
      <c r="H38" s="1"/>
      <c r="I38" s="5">
        <f t="shared" si="0"/>
        <v>2.9</v>
      </c>
    </row>
    <row r="39" spans="1:12" ht="17" x14ac:dyDescent="0.2">
      <c r="A39" s="2">
        <v>40</v>
      </c>
      <c r="B39" s="23">
        <v>45930</v>
      </c>
      <c r="C39" s="4" t="s">
        <v>103</v>
      </c>
      <c r="D39" s="4" t="s">
        <v>107</v>
      </c>
      <c r="E39" s="4" t="s">
        <v>16</v>
      </c>
      <c r="F39" s="4" t="s">
        <v>52</v>
      </c>
      <c r="G39" s="6">
        <v>2.9</v>
      </c>
      <c r="H39" s="1"/>
      <c r="I39" s="5">
        <f t="shared" si="0"/>
        <v>2.9</v>
      </c>
    </row>
    <row r="40" spans="1:12" ht="34" x14ac:dyDescent="0.2">
      <c r="A40" s="2">
        <v>41</v>
      </c>
      <c r="B40" s="23">
        <v>45930</v>
      </c>
      <c r="C40" s="4" t="s">
        <v>28</v>
      </c>
      <c r="D40" s="4" t="s">
        <v>110</v>
      </c>
      <c r="E40" s="4" t="s">
        <v>16</v>
      </c>
      <c r="F40" s="4" t="s">
        <v>40</v>
      </c>
      <c r="G40" s="6">
        <v>21.42</v>
      </c>
      <c r="H40" s="1"/>
      <c r="I40" s="5">
        <f t="shared" si="0"/>
        <v>21.42</v>
      </c>
    </row>
    <row r="41" spans="1:12" ht="17" x14ac:dyDescent="0.2">
      <c r="A41" s="2">
        <v>42</v>
      </c>
      <c r="B41" s="23">
        <v>45930</v>
      </c>
      <c r="C41" s="4" t="s">
        <v>75</v>
      </c>
      <c r="D41" s="4" t="s">
        <v>105</v>
      </c>
      <c r="E41" s="4" t="s">
        <v>20</v>
      </c>
      <c r="F41" s="4" t="s">
        <v>38</v>
      </c>
      <c r="G41" s="6">
        <f>15.24</f>
        <v>15.24</v>
      </c>
      <c r="H41" s="1"/>
      <c r="I41" s="5">
        <v>4.97</v>
      </c>
    </row>
    <row r="42" spans="1:12" ht="17" x14ac:dyDescent="0.2">
      <c r="A42" s="2">
        <v>43</v>
      </c>
      <c r="B42" s="23">
        <v>45930</v>
      </c>
      <c r="C42" s="4" t="s">
        <v>34</v>
      </c>
      <c r="D42" s="4" t="s">
        <v>106</v>
      </c>
      <c r="E42" s="4" t="s">
        <v>22</v>
      </c>
      <c r="F42" s="4" t="s">
        <v>36</v>
      </c>
      <c r="G42" s="6">
        <v>150</v>
      </c>
      <c r="H42" s="1"/>
      <c r="I42" s="5">
        <f>G42</f>
        <v>150</v>
      </c>
    </row>
    <row r="43" spans="1:12" x14ac:dyDescent="0.2">
      <c r="A43" s="2"/>
      <c r="B43" s="3"/>
      <c r="C43" s="4"/>
      <c r="D43" s="4"/>
      <c r="E43" s="4"/>
      <c r="F43" s="4"/>
      <c r="G43" s="6"/>
      <c r="H43" s="1"/>
      <c r="I43" s="5"/>
      <c r="K43" s="7"/>
    </row>
    <row r="44" spans="1:12" x14ac:dyDescent="0.2">
      <c r="L44" s="7"/>
    </row>
    <row r="45" spans="1:12" ht="19" x14ac:dyDescent="0.25">
      <c r="G45" s="11">
        <f>SUM(G2:G44)</f>
        <v>1345.9300000000005</v>
      </c>
      <c r="H45" s="10" t="s">
        <v>5</v>
      </c>
      <c r="I45" s="11">
        <f>SUM(I2:I44)</f>
        <v>961.17000000000019</v>
      </c>
      <c r="L45" s="7"/>
    </row>
    <row r="46" spans="1:12" x14ac:dyDescent="0.2">
      <c r="L46" s="7"/>
    </row>
    <row r="47" spans="1:12" x14ac:dyDescent="0.2">
      <c r="C47" s="25" t="s">
        <v>35</v>
      </c>
      <c r="D47" s="5">
        <f t="shared" ref="D47:D53" si="1">SUMIF(E:E,C47,I:I)</f>
        <v>500</v>
      </c>
    </row>
    <row r="48" spans="1:12" x14ac:dyDescent="0.2">
      <c r="C48" s="25" t="s">
        <v>16</v>
      </c>
      <c r="D48" s="5">
        <f t="shared" si="1"/>
        <v>89.960000000000008</v>
      </c>
    </row>
    <row r="49" spans="3:4" x14ac:dyDescent="0.2">
      <c r="C49" s="25" t="s">
        <v>20</v>
      </c>
      <c r="D49" s="5">
        <f t="shared" si="1"/>
        <v>104.14666666666665</v>
      </c>
    </row>
    <row r="50" spans="3:4" x14ac:dyDescent="0.2">
      <c r="C50" s="25" t="s">
        <v>22</v>
      </c>
      <c r="D50" s="5">
        <f t="shared" si="1"/>
        <v>150</v>
      </c>
    </row>
    <row r="51" spans="3:4" x14ac:dyDescent="0.2">
      <c r="C51" s="25" t="s">
        <v>11</v>
      </c>
      <c r="D51" s="18">
        <f t="shared" si="1"/>
        <v>17.390833333333333</v>
      </c>
    </row>
    <row r="52" spans="3:4" x14ac:dyDescent="0.2">
      <c r="C52" s="25" t="s">
        <v>71</v>
      </c>
      <c r="D52" s="18">
        <f t="shared" si="1"/>
        <v>20</v>
      </c>
    </row>
    <row r="53" spans="3:4" x14ac:dyDescent="0.2">
      <c r="C53" s="25" t="s">
        <v>96</v>
      </c>
      <c r="D53" s="18">
        <f t="shared" si="1"/>
        <v>79.672499999999999</v>
      </c>
    </row>
    <row r="55" spans="3:4" x14ac:dyDescent="0.2">
      <c r="C55" s="16" t="s">
        <v>42</v>
      </c>
      <c r="D55" s="7">
        <f>I45-SUM(D47:D53)</f>
        <v>0</v>
      </c>
    </row>
    <row r="56" spans="3:4" x14ac:dyDescent="0.2">
      <c r="C56" s="7"/>
    </row>
    <row r="57" spans="3:4" x14ac:dyDescent="0.2">
      <c r="C57" s="7"/>
    </row>
    <row r="58" spans="3:4" x14ac:dyDescent="0.2">
      <c r="C58" s="25" t="s">
        <v>39</v>
      </c>
      <c r="D58" s="5">
        <f t="shared" ref="D58:D65" si="2">SUMIF(F:F,C58,I:I)</f>
        <v>0</v>
      </c>
    </row>
    <row r="59" spans="3:4" ht="17" x14ac:dyDescent="0.2">
      <c r="C59" s="26" t="s">
        <v>41</v>
      </c>
      <c r="D59" s="5">
        <f t="shared" si="2"/>
        <v>0</v>
      </c>
    </row>
    <row r="60" spans="3:4" ht="17" x14ac:dyDescent="0.2">
      <c r="C60" s="26" t="s">
        <v>36</v>
      </c>
      <c r="D60" s="5">
        <f t="shared" si="2"/>
        <v>150</v>
      </c>
    </row>
    <row r="61" spans="3:4" ht="17" x14ac:dyDescent="0.2">
      <c r="C61" s="26" t="s">
        <v>38</v>
      </c>
      <c r="D61" s="5">
        <f t="shared" si="2"/>
        <v>33.409999999999997</v>
      </c>
    </row>
    <row r="62" spans="3:4" ht="17" x14ac:dyDescent="0.2">
      <c r="C62" s="26" t="s">
        <v>73</v>
      </c>
      <c r="D62" s="5">
        <f t="shared" si="2"/>
        <v>57.096666666666664</v>
      </c>
    </row>
    <row r="63" spans="3:4" ht="17" x14ac:dyDescent="0.2">
      <c r="C63" s="26" t="s">
        <v>40</v>
      </c>
      <c r="D63" s="5">
        <f t="shared" si="2"/>
        <v>53.720833333333331</v>
      </c>
    </row>
    <row r="64" spans="3:4" ht="17" x14ac:dyDescent="0.2">
      <c r="C64" s="26" t="s">
        <v>52</v>
      </c>
      <c r="D64" s="5">
        <f t="shared" si="2"/>
        <v>161.94249999999997</v>
      </c>
    </row>
    <row r="65" spans="3:4" ht="17" x14ac:dyDescent="0.2">
      <c r="C65" s="26" t="s">
        <v>61</v>
      </c>
      <c r="D65" s="5">
        <f t="shared" si="2"/>
        <v>505</v>
      </c>
    </row>
    <row r="67" spans="3:4" x14ac:dyDescent="0.2">
      <c r="C67" s="19" t="s">
        <v>42</v>
      </c>
      <c r="D67" s="20">
        <f>I45-SUM(D58:D65)</f>
        <v>0</v>
      </c>
    </row>
    <row r="68" spans="3:4" x14ac:dyDescent="0.2">
      <c r="C68" s="7"/>
    </row>
    <row r="69" spans="3:4" x14ac:dyDescent="0.2">
      <c r="C69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3AFFA-786F-BE43-8269-89B337D3C726}">
  <dimension ref="A1:M34"/>
  <sheetViews>
    <sheetView zoomScale="120" zoomScaleNormal="120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6.5" bestFit="1" customWidth="1"/>
    <col min="2" max="2" width="9.6640625" style="2" customWidth="1"/>
    <col min="3" max="3" width="23.5" customWidth="1"/>
    <col min="4" max="4" width="22" customWidth="1"/>
    <col min="5" max="5" width="12.6640625" customWidth="1"/>
    <col min="6" max="6" width="21.1640625" bestFit="1" customWidth="1"/>
    <col min="7" max="7" width="13.5" customWidth="1"/>
    <col min="8" max="8" width="10.6640625" bestFit="1" customWidth="1"/>
    <col min="9" max="9" width="14.6640625" customWidth="1"/>
    <col min="12" max="12" width="14.83203125" bestFit="1" customWidth="1"/>
  </cols>
  <sheetData>
    <row r="1" spans="1:13" ht="17" x14ac:dyDescent="0.2">
      <c r="A1" s="12" t="s">
        <v>0</v>
      </c>
      <c r="B1" s="13" t="s">
        <v>1</v>
      </c>
      <c r="C1" s="13" t="s">
        <v>13</v>
      </c>
      <c r="D1" s="13" t="s">
        <v>2</v>
      </c>
      <c r="E1" s="13" t="s">
        <v>12</v>
      </c>
      <c r="F1" s="13" t="s">
        <v>23</v>
      </c>
      <c r="G1" s="13" t="s">
        <v>3</v>
      </c>
      <c r="I1" s="13" t="s">
        <v>4</v>
      </c>
    </row>
    <row r="2" spans="1:13" ht="17" x14ac:dyDescent="0.2">
      <c r="A2" s="2">
        <v>1</v>
      </c>
      <c r="B2" s="3">
        <v>45882</v>
      </c>
      <c r="C2" s="4" t="s">
        <v>28</v>
      </c>
      <c r="D2" s="4" t="s">
        <v>29</v>
      </c>
      <c r="E2" s="4" t="s">
        <v>16</v>
      </c>
      <c r="F2" s="4" t="s">
        <v>40</v>
      </c>
      <c r="G2" s="6">
        <v>39.47</v>
      </c>
      <c r="H2" s="1"/>
      <c r="I2" s="5">
        <v>16.32</v>
      </c>
      <c r="L2" s="15" t="s">
        <v>35</v>
      </c>
      <c r="M2" s="5">
        <f t="shared" ref="M2:M7" si="0">SUMIF(E:E,L2,I:I)</f>
        <v>250</v>
      </c>
    </row>
    <row r="3" spans="1:13" ht="34" x14ac:dyDescent="0.2">
      <c r="A3" s="2">
        <v>2</v>
      </c>
      <c r="B3" s="3">
        <v>45883</v>
      </c>
      <c r="C3" s="4" t="s">
        <v>14</v>
      </c>
      <c r="D3" s="4" t="s">
        <v>15</v>
      </c>
      <c r="E3" s="4" t="s">
        <v>16</v>
      </c>
      <c r="F3" s="4" t="s">
        <v>39</v>
      </c>
      <c r="G3" s="6">
        <v>4.95</v>
      </c>
      <c r="H3" s="1"/>
      <c r="I3" s="5">
        <v>4.95</v>
      </c>
      <c r="K3" s="7"/>
      <c r="L3" s="15" t="s">
        <v>16</v>
      </c>
      <c r="M3" s="5">
        <f t="shared" si="0"/>
        <v>189.83</v>
      </c>
    </row>
    <row r="4" spans="1:13" ht="34" x14ac:dyDescent="0.2">
      <c r="A4" s="9">
        <v>3</v>
      </c>
      <c r="B4" s="3">
        <v>45883</v>
      </c>
      <c r="C4" s="4" t="s">
        <v>14</v>
      </c>
      <c r="D4" s="4" t="s">
        <v>17</v>
      </c>
      <c r="E4" s="4" t="s">
        <v>16</v>
      </c>
      <c r="F4" s="4" t="s">
        <v>41</v>
      </c>
      <c r="G4" s="6">
        <v>4.95</v>
      </c>
      <c r="H4" s="1"/>
      <c r="I4" s="5">
        <v>4.95</v>
      </c>
      <c r="L4" s="15" t="s">
        <v>20</v>
      </c>
      <c r="M4" s="5">
        <f t="shared" si="0"/>
        <v>35.549999999999997</v>
      </c>
    </row>
    <row r="5" spans="1:13" ht="17" x14ac:dyDescent="0.2">
      <c r="A5" s="2">
        <v>4</v>
      </c>
      <c r="B5" s="3">
        <v>45883</v>
      </c>
      <c r="C5" s="4" t="s">
        <v>14</v>
      </c>
      <c r="D5" s="4" t="s">
        <v>18</v>
      </c>
      <c r="E5" s="4" t="s">
        <v>16</v>
      </c>
      <c r="F5" s="4" t="s">
        <v>41</v>
      </c>
      <c r="G5" s="6">
        <v>3.85</v>
      </c>
      <c r="H5" s="1"/>
      <c r="I5" s="5">
        <v>3.85</v>
      </c>
      <c r="L5" s="15" t="s">
        <v>22</v>
      </c>
      <c r="M5" s="5">
        <f t="shared" si="0"/>
        <v>206.49</v>
      </c>
    </row>
    <row r="6" spans="1:13" ht="17" x14ac:dyDescent="0.2">
      <c r="A6" s="9">
        <v>5</v>
      </c>
      <c r="B6" s="3">
        <v>45883</v>
      </c>
      <c r="C6" s="4" t="s">
        <v>19</v>
      </c>
      <c r="D6" s="4" t="s">
        <v>6</v>
      </c>
      <c r="E6" s="4" t="s">
        <v>20</v>
      </c>
      <c r="F6" s="4" t="s">
        <v>41</v>
      </c>
      <c r="G6" s="6">
        <v>5.15</v>
      </c>
      <c r="H6" s="1"/>
      <c r="I6" s="5">
        <v>2.57</v>
      </c>
      <c r="L6" s="15" t="s">
        <v>11</v>
      </c>
      <c r="M6" s="18">
        <f t="shared" si="0"/>
        <v>168.95499999999998</v>
      </c>
    </row>
    <row r="7" spans="1:13" ht="17" x14ac:dyDescent="0.2">
      <c r="A7" s="2">
        <v>6</v>
      </c>
      <c r="B7" s="3">
        <v>45883</v>
      </c>
      <c r="C7" s="4" t="s">
        <v>7</v>
      </c>
      <c r="D7" s="4" t="s">
        <v>21</v>
      </c>
      <c r="E7" s="4" t="s">
        <v>22</v>
      </c>
      <c r="F7" s="4" t="s">
        <v>41</v>
      </c>
      <c r="G7" s="6">
        <v>206.49</v>
      </c>
      <c r="H7" s="1"/>
      <c r="I7" s="5">
        <f>G7</f>
        <v>206.49</v>
      </c>
      <c r="L7" s="15" t="s">
        <v>96</v>
      </c>
      <c r="M7" s="18">
        <f t="shared" si="0"/>
        <v>35.480000000000004</v>
      </c>
    </row>
    <row r="8" spans="1:13" ht="17" x14ac:dyDescent="0.2">
      <c r="A8" s="9">
        <v>7</v>
      </c>
      <c r="B8" s="3">
        <v>45883</v>
      </c>
      <c r="C8" s="4" t="s">
        <v>8</v>
      </c>
      <c r="D8" s="4" t="s">
        <v>24</v>
      </c>
      <c r="E8" s="4" t="s">
        <v>20</v>
      </c>
      <c r="F8" s="4" t="s">
        <v>40</v>
      </c>
      <c r="G8" s="6">
        <v>19.53</v>
      </c>
      <c r="I8" s="5">
        <v>11.99</v>
      </c>
    </row>
    <row r="9" spans="1:13" ht="17" x14ac:dyDescent="0.2">
      <c r="A9" s="2">
        <v>8</v>
      </c>
      <c r="B9" s="3">
        <v>45884</v>
      </c>
      <c r="C9" s="4" t="s">
        <v>25</v>
      </c>
      <c r="D9" s="4" t="s">
        <v>24</v>
      </c>
      <c r="E9" s="4" t="s">
        <v>20</v>
      </c>
      <c r="F9" s="4" t="s">
        <v>41</v>
      </c>
      <c r="G9" s="6">
        <v>35.9</v>
      </c>
      <c r="I9" s="8">
        <v>17.95</v>
      </c>
      <c r="L9" s="16" t="s">
        <v>42</v>
      </c>
      <c r="M9" s="7">
        <f>I33-SUM(M2:M7)</f>
        <v>0</v>
      </c>
    </row>
    <row r="10" spans="1:13" ht="17" x14ac:dyDescent="0.2">
      <c r="A10" s="9">
        <v>9</v>
      </c>
      <c r="B10" s="3">
        <v>45884</v>
      </c>
      <c r="C10" s="4" t="s">
        <v>26</v>
      </c>
      <c r="D10" s="4" t="s">
        <v>27</v>
      </c>
      <c r="E10" s="4" t="s">
        <v>20</v>
      </c>
      <c r="F10" s="4" t="s">
        <v>41</v>
      </c>
      <c r="G10" s="6">
        <v>2.4900000000000002</v>
      </c>
      <c r="I10" s="8">
        <v>1.25</v>
      </c>
      <c r="L10" s="7"/>
    </row>
    <row r="11" spans="1:13" ht="34" x14ac:dyDescent="0.2">
      <c r="A11" s="2">
        <v>10</v>
      </c>
      <c r="B11" s="3">
        <v>45886</v>
      </c>
      <c r="C11" s="4" t="s">
        <v>28</v>
      </c>
      <c r="D11" s="4" t="s">
        <v>30</v>
      </c>
      <c r="E11" s="4" t="s">
        <v>16</v>
      </c>
      <c r="F11" s="4" t="s">
        <v>40</v>
      </c>
      <c r="G11" s="6">
        <v>13.33</v>
      </c>
      <c r="I11" s="8">
        <v>6.67</v>
      </c>
      <c r="L11" s="7"/>
    </row>
    <row r="12" spans="1:13" ht="17" x14ac:dyDescent="0.2">
      <c r="A12" s="2">
        <v>11</v>
      </c>
      <c r="B12" s="3">
        <v>45886</v>
      </c>
      <c r="C12" s="4" t="s">
        <v>9</v>
      </c>
      <c r="D12" s="4" t="s">
        <v>31</v>
      </c>
      <c r="E12" s="4" t="s">
        <v>11</v>
      </c>
      <c r="F12" s="4" t="s">
        <v>41</v>
      </c>
      <c r="G12" s="6">
        <v>9.5399999999999991</v>
      </c>
      <c r="I12" s="8">
        <v>9.5399999999999991</v>
      </c>
      <c r="L12" s="15" t="s">
        <v>39</v>
      </c>
      <c r="M12" s="5">
        <f t="shared" ref="M12:M17" si="1">SUMIF(F:F,L12,I:I)</f>
        <v>22.62</v>
      </c>
    </row>
    <row r="13" spans="1:13" ht="34" x14ac:dyDescent="0.2">
      <c r="A13" s="9">
        <v>12</v>
      </c>
      <c r="B13" s="3">
        <v>45886</v>
      </c>
      <c r="C13" s="4" t="s">
        <v>10</v>
      </c>
      <c r="D13" s="4" t="s">
        <v>32</v>
      </c>
      <c r="E13" s="4" t="s">
        <v>20</v>
      </c>
      <c r="F13" s="4" t="s">
        <v>41</v>
      </c>
      <c r="G13" s="6">
        <v>5.17</v>
      </c>
      <c r="I13" s="8">
        <v>1.79</v>
      </c>
      <c r="L13" s="17" t="s">
        <v>41</v>
      </c>
      <c r="M13" s="5">
        <f t="shared" si="1"/>
        <v>253.33999999999997</v>
      </c>
    </row>
    <row r="14" spans="1:13" ht="34" x14ac:dyDescent="0.2">
      <c r="A14" s="2">
        <v>13</v>
      </c>
      <c r="B14" s="3">
        <v>45886</v>
      </c>
      <c r="C14" s="4" t="s">
        <v>28</v>
      </c>
      <c r="D14" s="4" t="s">
        <v>33</v>
      </c>
      <c r="E14" s="4" t="s">
        <v>16</v>
      </c>
      <c r="F14" s="4" t="s">
        <v>40</v>
      </c>
      <c r="G14" s="6">
        <v>12.87</v>
      </c>
      <c r="I14" s="8">
        <v>6.44</v>
      </c>
      <c r="L14" s="17" t="s">
        <v>36</v>
      </c>
      <c r="M14" s="5">
        <f t="shared" si="1"/>
        <v>250</v>
      </c>
    </row>
    <row r="15" spans="1:13" ht="34" x14ac:dyDescent="0.2">
      <c r="A15" s="9">
        <v>14</v>
      </c>
      <c r="B15" s="3">
        <v>45886</v>
      </c>
      <c r="C15" s="4" t="s">
        <v>14</v>
      </c>
      <c r="D15" s="4" t="s">
        <v>37</v>
      </c>
      <c r="E15" s="4" t="s">
        <v>16</v>
      </c>
      <c r="F15" s="4" t="s">
        <v>41</v>
      </c>
      <c r="G15" s="6">
        <v>4.95</v>
      </c>
      <c r="I15" s="8">
        <v>4.95</v>
      </c>
      <c r="L15" s="17" t="s">
        <v>38</v>
      </c>
      <c r="M15" s="5">
        <f t="shared" si="1"/>
        <v>181.34499999999997</v>
      </c>
    </row>
    <row r="16" spans="1:13" ht="17" x14ac:dyDescent="0.2">
      <c r="A16" s="2">
        <v>15</v>
      </c>
      <c r="B16" s="3">
        <v>45888</v>
      </c>
      <c r="C16" s="4" t="s">
        <v>34</v>
      </c>
      <c r="D16" s="14">
        <v>45894</v>
      </c>
      <c r="E16" s="4" t="s">
        <v>35</v>
      </c>
      <c r="F16" s="4" t="s">
        <v>36</v>
      </c>
      <c r="G16" s="6">
        <v>250</v>
      </c>
      <c r="I16" s="8">
        <v>250</v>
      </c>
      <c r="L16" s="17" t="s">
        <v>40</v>
      </c>
      <c r="M16" s="5">
        <f t="shared" si="1"/>
        <v>67</v>
      </c>
    </row>
    <row r="17" spans="1:13" ht="34" x14ac:dyDescent="0.2">
      <c r="A17" s="9">
        <v>16</v>
      </c>
      <c r="B17" s="3">
        <v>45888</v>
      </c>
      <c r="C17" s="4" t="s">
        <v>14</v>
      </c>
      <c r="D17" s="14" t="s">
        <v>15</v>
      </c>
      <c r="E17" s="4" t="s">
        <v>16</v>
      </c>
      <c r="F17" s="4" t="s">
        <v>38</v>
      </c>
      <c r="G17" s="6">
        <v>4.95</v>
      </c>
      <c r="I17" s="8">
        <v>4.95</v>
      </c>
      <c r="L17" s="17" t="s">
        <v>52</v>
      </c>
      <c r="M17" s="5">
        <f t="shared" si="1"/>
        <v>112</v>
      </c>
    </row>
    <row r="18" spans="1:13" ht="34" x14ac:dyDescent="0.2">
      <c r="A18" s="2">
        <v>17</v>
      </c>
      <c r="B18" s="3">
        <v>45888</v>
      </c>
      <c r="C18" s="4" t="s">
        <v>14</v>
      </c>
      <c r="D18" s="14" t="s">
        <v>37</v>
      </c>
      <c r="E18" s="4" t="s">
        <v>16</v>
      </c>
      <c r="F18" s="4" t="s">
        <v>38</v>
      </c>
      <c r="G18" s="6">
        <v>4.95</v>
      </c>
      <c r="I18" s="8">
        <v>4.95</v>
      </c>
    </row>
    <row r="19" spans="1:13" ht="17" x14ac:dyDescent="0.2">
      <c r="A19" s="2">
        <v>18</v>
      </c>
      <c r="B19" s="3">
        <v>45893</v>
      </c>
      <c r="C19" s="4" t="s">
        <v>43</v>
      </c>
      <c r="D19" s="14" t="s">
        <v>44</v>
      </c>
      <c r="E19" s="4" t="s">
        <v>11</v>
      </c>
      <c r="F19" s="4" t="s">
        <v>38</v>
      </c>
      <c r="G19" s="6">
        <v>2.0499999999999998</v>
      </c>
      <c r="I19" s="8">
        <f>G19/2</f>
        <v>1.0249999999999999</v>
      </c>
      <c r="L19" s="19" t="s">
        <v>42</v>
      </c>
      <c r="M19" s="20">
        <f>I33-SUM(M12:M17)</f>
        <v>0</v>
      </c>
    </row>
    <row r="20" spans="1:13" ht="17" x14ac:dyDescent="0.2">
      <c r="A20" s="2">
        <v>19</v>
      </c>
      <c r="B20" s="3">
        <v>45893</v>
      </c>
      <c r="C20" s="4" t="s">
        <v>97</v>
      </c>
      <c r="D20" s="14" t="s">
        <v>45</v>
      </c>
      <c r="E20" s="4" t="s">
        <v>96</v>
      </c>
      <c r="F20" s="4" t="s">
        <v>38</v>
      </c>
      <c r="G20" s="6">
        <v>39.1</v>
      </c>
      <c r="I20" s="8">
        <f>G20/2</f>
        <v>19.55</v>
      </c>
      <c r="L20" s="7"/>
    </row>
    <row r="21" spans="1:13" ht="34" x14ac:dyDescent="0.2">
      <c r="A21" s="2">
        <v>20</v>
      </c>
      <c r="B21" s="3">
        <v>45894</v>
      </c>
      <c r="C21" s="4" t="s">
        <v>14</v>
      </c>
      <c r="D21" s="14" t="s">
        <v>17</v>
      </c>
      <c r="E21" s="4" t="s">
        <v>16</v>
      </c>
      <c r="F21" s="4" t="s">
        <v>38</v>
      </c>
      <c r="G21" s="6">
        <v>4.95</v>
      </c>
      <c r="I21" s="8">
        <f>G21</f>
        <v>4.95</v>
      </c>
      <c r="L21" s="7"/>
    </row>
    <row r="22" spans="1:13" ht="17" x14ac:dyDescent="0.2">
      <c r="A22" s="2">
        <v>21</v>
      </c>
      <c r="B22" s="3">
        <v>45894</v>
      </c>
      <c r="C22" s="4" t="s">
        <v>46</v>
      </c>
      <c r="D22" s="14" t="s">
        <v>47</v>
      </c>
      <c r="E22" s="4" t="s">
        <v>11</v>
      </c>
      <c r="F22" s="4" t="s">
        <v>38</v>
      </c>
      <c r="G22" s="6">
        <v>195</v>
      </c>
      <c r="I22" s="21">
        <v>115.14</v>
      </c>
      <c r="L22" s="7"/>
    </row>
    <row r="23" spans="1:13" ht="34" x14ac:dyDescent="0.2">
      <c r="A23" s="2">
        <v>22</v>
      </c>
      <c r="B23" s="3">
        <v>45895</v>
      </c>
      <c r="C23" s="4" t="s">
        <v>14</v>
      </c>
      <c r="D23" s="14" t="s">
        <v>37</v>
      </c>
      <c r="E23" s="4" t="s">
        <v>16</v>
      </c>
      <c r="F23" s="4" t="s">
        <v>38</v>
      </c>
      <c r="G23" s="6">
        <v>4.95</v>
      </c>
      <c r="I23" s="8">
        <f>G23</f>
        <v>4.95</v>
      </c>
      <c r="L23" s="7"/>
    </row>
    <row r="24" spans="1:13" ht="34" x14ac:dyDescent="0.2">
      <c r="A24" s="2">
        <v>23</v>
      </c>
      <c r="B24" s="3">
        <v>45896</v>
      </c>
      <c r="C24" s="4" t="s">
        <v>14</v>
      </c>
      <c r="D24" s="14" t="s">
        <v>37</v>
      </c>
      <c r="E24" s="4" t="s">
        <v>16</v>
      </c>
      <c r="F24" s="4" t="s">
        <v>38</v>
      </c>
      <c r="G24" s="6">
        <v>4.95</v>
      </c>
      <c r="I24" s="8">
        <v>4.95</v>
      </c>
      <c r="L24" s="7"/>
    </row>
    <row r="25" spans="1:13" ht="17" x14ac:dyDescent="0.2">
      <c r="A25" s="2">
        <v>24</v>
      </c>
      <c r="B25" s="3">
        <v>45897</v>
      </c>
      <c r="C25" s="4" t="s">
        <v>48</v>
      </c>
      <c r="D25" s="14" t="s">
        <v>51</v>
      </c>
      <c r="E25" s="4" t="s">
        <v>96</v>
      </c>
      <c r="F25" s="4" t="s">
        <v>38</v>
      </c>
      <c r="G25" s="6">
        <v>10.29</v>
      </c>
      <c r="I25" s="8">
        <f>G25</f>
        <v>10.29</v>
      </c>
      <c r="L25" s="7"/>
    </row>
    <row r="26" spans="1:13" ht="17" x14ac:dyDescent="0.2">
      <c r="A26" s="2">
        <v>25</v>
      </c>
      <c r="B26" s="3">
        <v>45897</v>
      </c>
      <c r="C26" s="4" t="s">
        <v>49</v>
      </c>
      <c r="D26" s="14" t="s">
        <v>50</v>
      </c>
      <c r="E26" s="4" t="s">
        <v>96</v>
      </c>
      <c r="F26" s="4" t="s">
        <v>38</v>
      </c>
      <c r="G26" s="6">
        <v>11.07</v>
      </c>
      <c r="I26" s="21">
        <f>G26-5.43</f>
        <v>5.6400000000000006</v>
      </c>
      <c r="J26" s="22"/>
      <c r="L26" s="7"/>
    </row>
    <row r="27" spans="1:13" ht="34" x14ac:dyDescent="0.2">
      <c r="A27" s="2">
        <v>26</v>
      </c>
      <c r="B27" s="3">
        <v>45897</v>
      </c>
      <c r="C27" s="4" t="s">
        <v>14</v>
      </c>
      <c r="D27" s="14" t="s">
        <v>37</v>
      </c>
      <c r="E27" s="4" t="s">
        <v>16</v>
      </c>
      <c r="F27" s="4" t="s">
        <v>38</v>
      </c>
      <c r="G27" s="6">
        <v>4.95</v>
      </c>
      <c r="I27" s="8">
        <f>G27</f>
        <v>4.95</v>
      </c>
      <c r="L27" s="7"/>
    </row>
    <row r="28" spans="1:13" ht="17" x14ac:dyDescent="0.2">
      <c r="A28" s="2">
        <v>27</v>
      </c>
      <c r="B28" s="3">
        <v>45898</v>
      </c>
      <c r="C28" s="4" t="s">
        <v>14</v>
      </c>
      <c r="D28" s="14" t="s">
        <v>53</v>
      </c>
      <c r="E28" s="4" t="s">
        <v>16</v>
      </c>
      <c r="F28" s="4" t="s">
        <v>52</v>
      </c>
      <c r="G28" s="6">
        <v>112</v>
      </c>
      <c r="I28" s="8">
        <f>G28</f>
        <v>112</v>
      </c>
      <c r="L28" s="7"/>
    </row>
    <row r="29" spans="1:13" ht="17" x14ac:dyDescent="0.2">
      <c r="A29" s="2">
        <v>28</v>
      </c>
      <c r="B29" s="3">
        <v>45898</v>
      </c>
      <c r="C29" s="4" t="s">
        <v>8</v>
      </c>
      <c r="D29" s="14" t="s">
        <v>47</v>
      </c>
      <c r="E29" s="4" t="s">
        <v>11</v>
      </c>
      <c r="F29" s="4" t="s">
        <v>39</v>
      </c>
      <c r="G29" s="6">
        <v>40.72</v>
      </c>
      <c r="I29" s="8">
        <v>17.670000000000002</v>
      </c>
      <c r="L29" s="7"/>
    </row>
    <row r="30" spans="1:13" ht="34" x14ac:dyDescent="0.2">
      <c r="A30" s="2">
        <v>29</v>
      </c>
      <c r="B30" s="3">
        <v>45900</v>
      </c>
      <c r="C30" s="4" t="s">
        <v>54</v>
      </c>
      <c r="D30" s="14" t="s">
        <v>55</v>
      </c>
      <c r="E30" s="4" t="s">
        <v>11</v>
      </c>
      <c r="F30" s="4" t="s">
        <v>40</v>
      </c>
      <c r="G30" s="6">
        <v>41.16</v>
      </c>
      <c r="I30" s="8">
        <f>25.58</f>
        <v>25.58</v>
      </c>
      <c r="L30" s="7"/>
    </row>
    <row r="31" spans="1:13" x14ac:dyDescent="0.2">
      <c r="A31" s="2"/>
      <c r="L31" s="7"/>
    </row>
    <row r="32" spans="1:13" x14ac:dyDescent="0.2">
      <c r="L32" s="7"/>
    </row>
    <row r="33" spans="7:12" ht="19" x14ac:dyDescent="0.25">
      <c r="G33" s="11">
        <f>SUM(G2:G32)</f>
        <v>1099.7300000000002</v>
      </c>
      <c r="H33" s="10" t="s">
        <v>5</v>
      </c>
      <c r="I33" s="11">
        <f>SUM(I2:I32)</f>
        <v>886.30500000000018</v>
      </c>
      <c r="L33" s="7"/>
    </row>
    <row r="34" spans="7:12" x14ac:dyDescent="0.2">
      <c r="L3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 26</vt:lpstr>
      <vt:lpstr>Feb 26</vt:lpstr>
      <vt:lpstr>Oct 25</vt:lpstr>
      <vt:lpstr>Sep 25</vt:lpstr>
      <vt:lpstr>Aug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Chaitya Dobariya</dc:creator>
  <cp:lastModifiedBy>Chaitya Dobariya</cp:lastModifiedBy>
  <dcterms:created xsi:type="dcterms:W3CDTF">2025-07-22T08:05:19Z</dcterms:created>
  <dcterms:modified xsi:type="dcterms:W3CDTF">2026-06-06T13:44:27Z</dcterms:modified>
</cp:coreProperties>
</file>